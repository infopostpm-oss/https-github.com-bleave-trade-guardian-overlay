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44 a - Aufmaß 1" sheetId="1" state="visible" r:id="rId3"/>
    <sheet name="Geb 44 a - Aufmaß 2" sheetId="2" state="visible" r:id="rId4"/>
    <sheet name="Geb 44 a - Aufmaß 3" sheetId="3" state="visible" r:id="rId5"/>
    <sheet name="Geb 55 - Aufmaß 4" sheetId="4" state="visible" r:id="rId6"/>
    <sheet name="Geb 55 - Aufmaß 5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0" name="_xlnm.Print_Area" vbProcedure="false">'Geb 44 a - Aufmaß 1'!$A$1:$BA$37</definedName>
    <definedName function="false" hidden="false" localSheetId="1" name="_xlnm.Print_Area" vbProcedure="false">'Geb 44 a - Aufmaß 2'!$A$1:$BA$37</definedName>
    <definedName function="false" hidden="false" localSheetId="2" name="_xlnm.Print_Area" vbProcedure="false">'Geb 44 a - Aufmaß 3'!$A$1:$BA$37</definedName>
    <definedName function="false" hidden="false" localSheetId="3" name="_xlnm.Print_Area" vbProcedure="false">'Geb 55 - Aufmaß 4'!$A$1:$BA$30</definedName>
    <definedName function="false" hidden="false" localSheetId="4" name="_xlnm.Print_Area" vbProcedure="false">'Geb 55 - Aufmaß 5'!$A$1:$BA$30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<sst xmlns="http://schemas.openxmlformats.org/spreadsheetml/2006/main" count="581" uniqueCount="196">
  <si>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</si>
  <si>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</si>
  <si>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</si>
  <si>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</si>
  <si>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</si>
  <si>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</si>
  <si>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</si>
  <si>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</si>
  <si>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Gustav Str. 11</t>
  </si>
  <si>
    <t xml:space="preserve">Durchschlag (grün)</t>
  </si>
  <si>
    <t xml:space="preserve">für Nachunternehmerrechnung</t>
  </si>
  <si>
    <t xml:space="preserve">Baustelle:</t>
  </si>
  <si>
    <t xml:space="preserve">Gaggenau Werk 034 - Geb. 44 a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</si>
  <si>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</si>
  <si>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</si>
  <si>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</si>
  <si>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</si>
  <si>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</si>
  <si>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</si>
  <si>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</si>
  <si>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</si>
  <si>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</si>
  <si>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44 a - Sicherheitsbeleuchtung</t>
  </si>
  <si>
    <t xml:space="preserve">Pos. laut Bestellung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</si>
  <si>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</si>
  <si>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</si>
  <si>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</si>
  <si>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</si>
  <si>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</si>
  <si>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.010</t>
  </si>
  <si>
    <t xml:space="preserve">.020</t>
  </si>
  <si>
    <t xml:space="preserve">.060</t>
  </si>
  <si>
    <t xml:space="preserve">.030</t>
  </si>
  <si>
    <t xml:space="preserve">.050</t>
  </si>
  <si>
    <t xml:space="preserve">.070</t>
  </si>
  <si>
    <t xml:space="preserve">.080</t>
  </si>
  <si>
    <t xml:space="preserve">.100</t>
  </si>
  <si>
    <t xml:space="preserve">.120</t>
  </si>
  <si>
    <t xml:space="preserve">Art der Leistung
Montage und Kabelverlegung</t>
  </si>
  <si>
    <t xml:space="preserve">NYY-J
3x2,5 mm²
[m]</t>
  </si>
  <si>
    <t xml:space="preserve">NYY-J
5x2,5 mm²
[m]</t>
  </si>
  <si>
    <t xml:space="preserve">J-Y(St)Y
4x2x0,8
[m]</t>
  </si>
  <si>
    <t xml:space="preserve">Bügel-
schelle
8-20 mm
[Stck]</t>
  </si>
  <si>
    <t xml:space="preserve">Anschluss
bis 5x2,5
[Stck]</t>
  </si>
  <si>
    <t xml:space="preserve">Steige-
trasse
B=200
[m]</t>
  </si>
  <si>
    <t xml:space="preserve">Steige-
trasse
B=400
[m]</t>
  </si>
  <si>
    <t xml:space="preserve">Profilstahl
fvz.
[kg]</t>
  </si>
  <si>
    <t xml:space="preserve">U-Profil
60x40
[m]</t>
  </si>
  <si>
    <t xml:space="preserve">C-Profil
40x22
[m]</t>
  </si>
  <si>
    <t xml:space="preserve">C-Profil
40x40
[m]</t>
  </si>
  <si>
    <t xml:space="preserve">Leuchten-
trägersch.
50-50
[m]</t>
  </si>
  <si>
    <t xml:space="preserve">Formteil
KR 60x100
[St]</t>
  </si>
  <si>
    <t xml:space="preserve">Panzerrohr
M25
[m]</t>
  </si>
  <si>
    <t xml:space="preserve">Panzerrohr
M40
[m]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</si>
  <si>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</si>
  <si>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</si>
  <si>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</si>
  <si>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</si>
  <si>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</si>
  <si>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</si>
  <si>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</si>
  <si>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</si>
  <si>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</si>
  <si>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</si>
  <si>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</si>
  <si>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</si>
  <si>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</si>
  <si>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</si>
  <si>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</si>
  <si>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</si>
  <si>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</si>
  <si>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</si>
  <si>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</si>
  <si>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</si>
  <si>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</si>
  <si>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</si>
  <si>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</si>
  <si>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</si>
  <si>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</si>
  <si>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Rastatt, 13.10.2026</t>
  </si>
  <si>
    <t xml:space="preserve">Firma/Auftraggeber</t>
  </si>
  <si>
    <t xml:space="preserve">Auftragnehmer</t>
  </si>
  <si>
    <t xml:space="preserve">Datum der Aufmaßerstellung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</si>
  <si>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</si>
  <si>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</si>
  <si>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</si>
  <si>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</si>
  <si>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</si>
  <si>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.090</t>
  </si>
  <si>
    <t xml:space="preserve">.110</t>
  </si>
  <si>
    <t xml:space="preserve">.130</t>
  </si>
  <si>
    <t xml:space="preserve">.140</t>
  </si>
  <si>
    <t xml:space="preserve">.180</t>
  </si>
  <si>
    <t xml:space="preserve">.190</t>
  </si>
  <si>
    <t xml:space="preserve">FR-AP-Abzw.
kasten rot
[Stck]</t>
  </si>
  <si>
    <t xml:space="preserve">Notlicht-
versorgung
24Ah
[St]</t>
  </si>
  <si>
    <t xml:space="preserve">Seilab-
hängung
[lfdm]</t>
  </si>
  <si>
    <t xml:space="preserve">Rettungs-
zeichenl.
2-seitig
[St]</t>
  </si>
  <si>
    <t xml:space="preserve">Rettungs-
zeichenl.
1-s. Wand
[St]</t>
  </si>
  <si>
    <t xml:space="preserve">Sicherh.-
leuchte
CG05
[St]</t>
  </si>
  <si>
    <t xml:space="preserve">Montage-
adapter
[St]</t>
  </si>
  <si>
    <t xml:space="preserve">Ketten-
abh. 1m
[Stck]</t>
  </si>
  <si>
    <t xml:space="preserve">Ketten-
abh. 3m
[Stck]</t>
  </si>
  <si>
    <t xml:space="preserve">Ketten-
abh. 6m
[Stck]</t>
  </si>
  <si>
    <t xml:space="preserve">Pendel-
abh. 0,5m
[St]</t>
  </si>
  <si>
    <t xml:space="preserve">Sicherh.-
leuchte
Wand IP65
[St]</t>
  </si>
  <si>
    <t xml:space="preserve">Pikto-
gramm-
leuchte
[St]</t>
  </si>
  <si>
    <t xml:space="preserve">Demont.
Kabel 5x2,5
[m]</t>
  </si>
  <si>
    <t xml:space="preserve">Demont.
Pikto-
leuchte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</si>
  <si>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</si>
  <si>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</si>
  <si>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</si>
  <si>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</si>
  <si>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</si>
  <si>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Demont.
Sicherh.-
leuchte
[Stck]</t>
  </si>
  <si>
    <t xml:space="preserve">Demont.
Rohr
M20-M32
[m]</t>
  </si>
  <si>
    <t xml:space="preserve">Demont.
Rohr
M40-M63
[m]</t>
  </si>
  <si>
    <t xml:space="preserve">Abklemmen
bis 7x2,5
[Stck]</t>
  </si>
  <si>
    <t xml:space="preserve">Demont.
Abzweig-
dose
[Stck]</t>
  </si>
  <si>
    <t xml:space="preserve">Leitungs-
nachver-
folgung
[lfdm]</t>
  </si>
  <si>
    <t xml:space="preserve">Öffnen/
Schließen
Decken
[Stck]</t>
  </si>
  <si>
    <t xml:space="preserve">Gaggenau Werk 034 - Geb. 55</t>
  </si>
  <si>
    <t xml:space="preserve">Aufmaß - Gebäude 55 - Sicherheitsbeleuchtung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</si>
  <si>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</si>
  <si>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</si>
  <si>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</si>
  <si>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</si>
  <si>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</si>
  <si>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</si>
  <si>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</si>
  <si>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</si>
  <si>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.040</t>
  </si>
  <si>
    <t xml:space="preserve">H-Profil
80x42
[m]</t>
  </si>
  <si>
    <t xml:space="preserve">Kanal
20x33
[m]</t>
  </si>
  <si>
    <t xml:space="preserve">2.03.02.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</si>
  <si>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</si>
  <si>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</si>
  <si>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</si>
  <si>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</si>
  <si>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</si>
  <si>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</si>
  <si>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</si>
  <si>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</si>
  <si>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</si>
  <si>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</si>
  <si>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</si>
  <si>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</si>
  <si>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</si>
  <si>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</si>
  <si>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</si>
  <si>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</si>
  <si>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</si>
  <si>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</si>
  <si>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</si>
  <si>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</si>
  <si>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</si>
  <si>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</si>
  <si>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</si>
  <si>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</si>
  <si>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</si>
  <si>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</si>
  <si>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</si>
  <si>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</si>
  <si>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</si>
  <si>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</si>
  <si>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</si>
  <si>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</si>
  <si>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</si>
  <si>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</si>
  <si>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</si>
  <si>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</si>
  <si>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</si>
  <si>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</si>
  <si>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</si>
  <si>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</si>
  <si>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</si>
  <si>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</si>
  <si>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</si>
  <si>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</si>
  <si>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</si>
  <si>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</si>
  <si>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</si>
  <si>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</si>
  <si>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</si>
  <si>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Rastatt, den 13.10.2026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</si>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</sst>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tru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1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24</v>
      </c>
      <c r="I9" s="21"/>
      <c r="J9" s="21"/>
      <c r="K9" s="21" t="s">
        <v>24</v>
      </c>
      <c r="L9" s="21"/>
      <c r="M9" s="21"/>
      <c r="N9" s="21" t="s">
        <v>24</v>
      </c>
      <c r="O9" s="21"/>
      <c r="P9" s="21"/>
      <c r="Q9" s="21" t="s">
        <v>25</v>
      </c>
      <c r="R9" s="21"/>
      <c r="S9" s="21"/>
      <c r="T9" s="21" t="s">
        <v>26</v>
      </c>
      <c r="U9" s="21"/>
      <c r="V9" s="21"/>
      <c r="W9" s="21" t="s">
        <v>27</v>
      </c>
      <c r="X9" s="21"/>
      <c r="Y9" s="21"/>
      <c r="Z9" s="21" t="s">
        <v>27</v>
      </c>
      <c r="AA9" s="21"/>
      <c r="AB9" s="21"/>
      <c r="AC9" s="21" t="s">
        <v>27</v>
      </c>
      <c r="AD9" s="21"/>
      <c r="AE9" s="21"/>
      <c r="AF9" s="21" t="s">
        <v>27</v>
      </c>
      <c r="AG9" s="21"/>
      <c r="AH9" s="21"/>
      <c r="AI9" s="21" t="s">
        <v>27</v>
      </c>
      <c r="AJ9" s="21"/>
      <c r="AK9" s="21"/>
      <c r="AL9" s="21" t="s">
        <v>27</v>
      </c>
      <c r="AM9" s="21"/>
      <c r="AN9" s="21"/>
      <c r="AO9" s="21" t="s">
        <v>27</v>
      </c>
      <c r="AP9" s="21"/>
      <c r="AQ9" s="21"/>
      <c r="AR9" s="21" t="s">
        <v>27</v>
      </c>
      <c r="AS9" s="21"/>
      <c r="AT9" s="21"/>
      <c r="AU9" s="21" t="s">
        <v>28</v>
      </c>
      <c r="AV9" s="21"/>
      <c r="AW9" s="21"/>
      <c r="AX9" s="21" t="s">
        <v>28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29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32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30</v>
      </c>
      <c r="AA10" s="25"/>
      <c r="AB10" s="25"/>
      <c r="AC10" s="25" t="s">
        <v>32</v>
      </c>
      <c r="AD10" s="25"/>
      <c r="AE10" s="25"/>
      <c r="AF10" s="25" t="s">
        <v>33</v>
      </c>
      <c r="AG10" s="25"/>
      <c r="AH10" s="25"/>
      <c r="AI10" s="25" t="s">
        <v>34</v>
      </c>
      <c r="AJ10" s="25"/>
      <c r="AK10" s="25"/>
      <c r="AL10" s="25" t="s">
        <v>35</v>
      </c>
      <c r="AM10" s="25"/>
      <c r="AN10" s="25"/>
      <c r="AO10" s="25" t="s">
        <v>36</v>
      </c>
      <c r="AP10" s="25"/>
      <c r="AQ10" s="25"/>
      <c r="AR10" s="25" t="s">
        <v>37</v>
      </c>
      <c r="AS10" s="25"/>
      <c r="AT10" s="25"/>
      <c r="AU10" s="25" t="s">
        <v>29</v>
      </c>
      <c r="AV10" s="25"/>
      <c r="AW10" s="25"/>
      <c r="AX10" s="25" t="s">
        <v>32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39</v>
      </c>
      <c r="I11" s="27"/>
      <c r="J11" s="27"/>
      <c r="K11" s="27" t="s">
        <v>40</v>
      </c>
      <c r="L11" s="27"/>
      <c r="M11" s="27"/>
      <c r="N11" s="27" t="s">
        <v>41</v>
      </c>
      <c r="O11" s="27"/>
      <c r="P11" s="27"/>
      <c r="Q11" s="27" t="s">
        <v>42</v>
      </c>
      <c r="R11" s="27"/>
      <c r="S11" s="27"/>
      <c r="T11" s="27" t="s">
        <v>43</v>
      </c>
      <c r="U11" s="27"/>
      <c r="V11" s="27"/>
      <c r="W11" s="27" t="s">
        <v>44</v>
      </c>
      <c r="X11" s="27"/>
      <c r="Y11" s="27"/>
      <c r="Z11" s="27" t="s">
        <v>45</v>
      </c>
      <c r="AA11" s="27"/>
      <c r="AB11" s="27"/>
      <c r="AC11" s="27" t="s">
        <v>46</v>
      </c>
      <c r="AD11" s="27"/>
      <c r="AE11" s="27"/>
      <c r="AF11" s="27" t="s">
        <v>47</v>
      </c>
      <c r="AG11" s="27"/>
      <c r="AH11" s="27"/>
      <c r="AI11" s="27" t="s">
        <v>48</v>
      </c>
      <c r="AJ11" s="27"/>
      <c r="AK11" s="27"/>
      <c r="AL11" s="27" t="s">
        <v>49</v>
      </c>
      <c r="AM11" s="27"/>
      <c r="AN11" s="27"/>
      <c r="AO11" s="27" t="s">
        <v>50</v>
      </c>
      <c r="AP11" s="27"/>
      <c r="AQ11" s="27"/>
      <c r="AR11" s="27" t="s">
        <v>51</v>
      </c>
      <c r="AS11" s="27"/>
      <c r="AT11" s="27"/>
      <c r="AU11" s="27" t="s">
        <v>52</v>
      </c>
      <c r="AV11" s="27"/>
      <c r="AW11" s="27"/>
      <c r="AX11" s="27" t="s">
        <v>53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880</v>
      </c>
      <c r="I15" s="29"/>
      <c r="J15" s="29"/>
      <c r="K15" s="29" t="n">
        <v>10</v>
      </c>
      <c r="L15" s="29"/>
      <c r="M15" s="29"/>
      <c r="N15" s="29" t="n">
        <v>110</v>
      </c>
      <c r="O15" s="29"/>
      <c r="P15" s="29"/>
      <c r="Q15" s="29"/>
      <c r="R15" s="29"/>
      <c r="S15" s="29"/>
      <c r="T15" s="29" t="n">
        <v>35</v>
      </c>
      <c r="U15" s="29"/>
      <c r="V15" s="29"/>
      <c r="W15" s="29"/>
      <c r="X15" s="29"/>
      <c r="Y15" s="29"/>
      <c r="Z15" s="29" t="n">
        <v>6</v>
      </c>
      <c r="AA15" s="29"/>
      <c r="AB15" s="29"/>
      <c r="AC15" s="29" t="n">
        <v>2</v>
      </c>
      <c r="AD15" s="29"/>
      <c r="AE15" s="29"/>
      <c r="AF15" s="29"/>
      <c r="AG15" s="29"/>
      <c r="AH15" s="29"/>
      <c r="AI15" s="29" t="n">
        <v>4</v>
      </c>
      <c r="AJ15" s="29"/>
      <c r="AK15" s="29"/>
      <c r="AL15" s="29" t="n">
        <v>4</v>
      </c>
      <c r="AM15" s="29"/>
      <c r="AN15" s="29"/>
      <c r="AO15" s="29" t="n">
        <v>50</v>
      </c>
      <c r="AP15" s="29"/>
      <c r="AQ15" s="29"/>
      <c r="AR15" s="29"/>
      <c r="AS15" s="29"/>
      <c r="AT15" s="29"/>
      <c r="AU15" s="29" t="n">
        <v>88</v>
      </c>
      <c r="AV15" s="29"/>
      <c r="AW15" s="29"/>
      <c r="AX15" s="29" t="n">
        <v>49</v>
      </c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1150</v>
      </c>
      <c r="I16" s="31"/>
      <c r="J16" s="31"/>
      <c r="K16" s="31" t="n">
        <v>80</v>
      </c>
      <c r="L16" s="31"/>
      <c r="M16" s="31"/>
      <c r="N16" s="31" t="n">
        <v>115</v>
      </c>
      <c r="O16" s="31"/>
      <c r="P16" s="31"/>
      <c r="Q16" s="31" t="n">
        <v>40</v>
      </c>
      <c r="R16" s="31"/>
      <c r="S16" s="31"/>
      <c r="T16" s="31" t="n">
        <v>45</v>
      </c>
      <c r="U16" s="31"/>
      <c r="V16" s="31"/>
      <c r="W16" s="31"/>
      <c r="X16" s="31"/>
      <c r="Y16" s="31"/>
      <c r="Z16" s="31" t="n">
        <v>6</v>
      </c>
      <c r="AA16" s="31"/>
      <c r="AB16" s="31"/>
      <c r="AC16" s="31" t="n">
        <v>5</v>
      </c>
      <c r="AD16" s="31"/>
      <c r="AE16" s="31"/>
      <c r="AF16" s="31" t="n">
        <v>1</v>
      </c>
      <c r="AG16" s="31"/>
      <c r="AH16" s="31"/>
      <c r="AI16" s="31" t="n">
        <v>13</v>
      </c>
      <c r="AJ16" s="31"/>
      <c r="AK16" s="31"/>
      <c r="AL16" s="31" t="n">
        <v>6</v>
      </c>
      <c r="AM16" s="31"/>
      <c r="AN16" s="31"/>
      <c r="AO16" s="31" t="n">
        <v>120</v>
      </c>
      <c r="AP16" s="31"/>
      <c r="AQ16" s="31"/>
      <c r="AR16" s="31" t="n">
        <v>3</v>
      </c>
      <c r="AS16" s="31"/>
      <c r="AT16" s="31"/>
      <c r="AU16" s="31" t="n">
        <v>84</v>
      </c>
      <c r="AV16" s="31"/>
      <c r="AW16" s="31"/>
      <c r="AX16" s="31" t="n">
        <v>135</v>
      </c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480</v>
      </c>
      <c r="I17" s="31"/>
      <c r="J17" s="31"/>
      <c r="K17" s="31"/>
      <c r="L17" s="31"/>
      <c r="M17" s="31"/>
      <c r="N17" s="31" t="n">
        <v>85</v>
      </c>
      <c r="O17" s="31"/>
      <c r="P17" s="31"/>
      <c r="Q17" s="31"/>
      <c r="R17" s="31"/>
      <c r="S17" s="31"/>
      <c r="T17" s="31" t="n">
        <v>20</v>
      </c>
      <c r="U17" s="31"/>
      <c r="V17" s="31"/>
      <c r="W17" s="31"/>
      <c r="X17" s="31"/>
      <c r="Y17" s="31"/>
      <c r="Z17" s="31" t="n">
        <v>6</v>
      </c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 t="n">
        <v>2</v>
      </c>
      <c r="AM17" s="31"/>
      <c r="AN17" s="31"/>
      <c r="AO17" s="31" t="n">
        <v>55</v>
      </c>
      <c r="AP17" s="31"/>
      <c r="AQ17" s="31"/>
      <c r="AR17" s="31"/>
      <c r="AS17" s="31"/>
      <c r="AT17" s="31"/>
      <c r="AU17" s="31" t="n">
        <v>50</v>
      </c>
      <c r="AV17" s="31"/>
      <c r="AW17" s="31"/>
      <c r="AX17" s="31" t="n">
        <v>30</v>
      </c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315</v>
      </c>
      <c r="I18" s="31"/>
      <c r="J18" s="31"/>
      <c r="K18" s="31" t="n">
        <v>65</v>
      </c>
      <c r="L18" s="31"/>
      <c r="M18" s="31"/>
      <c r="N18" s="31" t="n">
        <v>35</v>
      </c>
      <c r="O18" s="31"/>
      <c r="P18" s="31"/>
      <c r="Q18" s="31" t="n">
        <v>25</v>
      </c>
      <c r="R18" s="31"/>
      <c r="S18" s="31"/>
      <c r="T18" s="31" t="n">
        <v>15</v>
      </c>
      <c r="U18" s="31"/>
      <c r="V18" s="31"/>
      <c r="W18" s="31" t="n">
        <v>4</v>
      </c>
      <c r="X18" s="31"/>
      <c r="Y18" s="31"/>
      <c r="Z18" s="31" t="n">
        <v>8</v>
      </c>
      <c r="AA18" s="31"/>
      <c r="AB18" s="31"/>
      <c r="AC18" s="31" t="n">
        <v>3</v>
      </c>
      <c r="AD18" s="31"/>
      <c r="AE18" s="31"/>
      <c r="AF18" s="31" t="n">
        <v>3</v>
      </c>
      <c r="AG18" s="31"/>
      <c r="AH18" s="31"/>
      <c r="AI18" s="31" t="n">
        <v>1</v>
      </c>
      <c r="AJ18" s="31"/>
      <c r="AK18" s="31"/>
      <c r="AL18" s="31" t="n">
        <v>2</v>
      </c>
      <c r="AM18" s="31"/>
      <c r="AN18" s="31"/>
      <c r="AO18" s="31" t="n">
        <v>60</v>
      </c>
      <c r="AP18" s="31"/>
      <c r="AQ18" s="31"/>
      <c r="AR18" s="31"/>
      <c r="AS18" s="31"/>
      <c r="AT18" s="31"/>
      <c r="AU18" s="31" t="n">
        <v>32</v>
      </c>
      <c r="AV18" s="31"/>
      <c r="AW18" s="31"/>
      <c r="AX18" s="31" t="n">
        <v>15</v>
      </c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380</v>
      </c>
      <c r="I19" s="31"/>
      <c r="J19" s="31"/>
      <c r="K19" s="31"/>
      <c r="L19" s="31"/>
      <c r="M19" s="31"/>
      <c r="N19" s="31" t="n">
        <v>55</v>
      </c>
      <c r="O19" s="31"/>
      <c r="P19" s="31"/>
      <c r="Q19" s="31"/>
      <c r="R19" s="31"/>
      <c r="S19" s="31"/>
      <c r="T19" s="31" t="n">
        <v>15</v>
      </c>
      <c r="U19" s="31"/>
      <c r="V19" s="31"/>
      <c r="W19" s="31"/>
      <c r="X19" s="31"/>
      <c r="Y19" s="31"/>
      <c r="Z19" s="31" t="n">
        <v>6</v>
      </c>
      <c r="AA19" s="31"/>
      <c r="AB19" s="31"/>
      <c r="AC19" s="31" t="n">
        <v>1</v>
      </c>
      <c r="AD19" s="31"/>
      <c r="AE19" s="31"/>
      <c r="AF19" s="31" t="n">
        <v>2</v>
      </c>
      <c r="AG19" s="31"/>
      <c r="AH19" s="31"/>
      <c r="AI19" s="31"/>
      <c r="AJ19" s="31"/>
      <c r="AK19" s="31"/>
      <c r="AL19" s="31" t="n">
        <v>2</v>
      </c>
      <c r="AM19" s="31"/>
      <c r="AN19" s="31"/>
      <c r="AO19" s="31" t="n">
        <v>70</v>
      </c>
      <c r="AP19" s="31"/>
      <c r="AQ19" s="31"/>
      <c r="AR19" s="31"/>
      <c r="AS19" s="31"/>
      <c r="AT19" s="31"/>
      <c r="AU19" s="31" t="n">
        <v>32</v>
      </c>
      <c r="AV19" s="31"/>
      <c r="AW19" s="31"/>
      <c r="AX19" s="31" t="n">
        <v>18</v>
      </c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390</v>
      </c>
      <c r="I20" s="31"/>
      <c r="J20" s="31"/>
      <c r="K20" s="31" t="n">
        <v>50</v>
      </c>
      <c r="L20" s="31"/>
      <c r="M20" s="31"/>
      <c r="N20" s="31" t="n">
        <v>75</v>
      </c>
      <c r="O20" s="31"/>
      <c r="P20" s="31"/>
      <c r="Q20" s="31" t="n">
        <v>40</v>
      </c>
      <c r="R20" s="31"/>
      <c r="S20" s="31"/>
      <c r="T20" s="31" t="n">
        <v>12</v>
      </c>
      <c r="U20" s="31"/>
      <c r="V20" s="31"/>
      <c r="W20" s="31" t="n">
        <v>4</v>
      </c>
      <c r="X20" s="31"/>
      <c r="Y20" s="31"/>
      <c r="Z20" s="31" t="n">
        <v>8</v>
      </c>
      <c r="AA20" s="31"/>
      <c r="AB20" s="31"/>
      <c r="AC20" s="31" t="n">
        <v>3</v>
      </c>
      <c r="AD20" s="31"/>
      <c r="AE20" s="31"/>
      <c r="AF20" s="31" t="n">
        <v>3</v>
      </c>
      <c r="AG20" s="31"/>
      <c r="AH20" s="31"/>
      <c r="AI20" s="31"/>
      <c r="AJ20" s="31"/>
      <c r="AK20" s="31"/>
      <c r="AL20" s="31"/>
      <c r="AM20" s="31"/>
      <c r="AN20" s="31"/>
      <c r="AO20" s="31" t="n">
        <v>50</v>
      </c>
      <c r="AP20" s="31"/>
      <c r="AQ20" s="31"/>
      <c r="AR20" s="31"/>
      <c r="AS20" s="31"/>
      <c r="AT20" s="31"/>
      <c r="AU20" s="31" t="n">
        <v>34</v>
      </c>
      <c r="AV20" s="31"/>
      <c r="AW20" s="31"/>
      <c r="AX20" s="31" t="n">
        <v>7</v>
      </c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 t="n">
        <v>320</v>
      </c>
      <c r="I21" s="31"/>
      <c r="J21" s="31"/>
      <c r="K21" s="31"/>
      <c r="L21" s="31"/>
      <c r="M21" s="31"/>
      <c r="N21" s="31" t="n">
        <v>125</v>
      </c>
      <c r="O21" s="31"/>
      <c r="P21" s="31"/>
      <c r="Q21" s="31" t="n">
        <v>39</v>
      </c>
      <c r="R21" s="31"/>
      <c r="S21" s="31"/>
      <c r="T21" s="31" t="n">
        <v>12</v>
      </c>
      <c r="U21" s="31"/>
      <c r="V21" s="31"/>
      <c r="W21" s="31" t="n">
        <v>4</v>
      </c>
      <c r="X21" s="31"/>
      <c r="Y21" s="31"/>
      <c r="Z21" s="31" t="n">
        <v>8</v>
      </c>
      <c r="AA21" s="31"/>
      <c r="AB21" s="31"/>
      <c r="AC21" s="31"/>
      <c r="AD21" s="31"/>
      <c r="AE21" s="31"/>
      <c r="AF21" s="31"/>
      <c r="AG21" s="31"/>
      <c r="AH21" s="31"/>
      <c r="AI21" s="31" t="n">
        <v>1</v>
      </c>
      <c r="AJ21" s="31"/>
      <c r="AK21" s="31"/>
      <c r="AL21" s="31" t="n">
        <v>2</v>
      </c>
      <c r="AM21" s="31"/>
      <c r="AN21" s="31"/>
      <c r="AO21" s="31" t="n">
        <v>50</v>
      </c>
      <c r="AP21" s="31"/>
      <c r="AQ21" s="31"/>
      <c r="AR21" s="31"/>
      <c r="AS21" s="31"/>
      <c r="AT21" s="31"/>
      <c r="AU21" s="31" t="n">
        <v>36</v>
      </c>
      <c r="AV21" s="31"/>
      <c r="AW21" s="31"/>
      <c r="AX21" s="31" t="n">
        <v>9</v>
      </c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450</v>
      </c>
      <c r="I22" s="31"/>
      <c r="J22" s="31"/>
      <c r="K22" s="31" t="n">
        <v>60</v>
      </c>
      <c r="L22" s="31"/>
      <c r="M22" s="31"/>
      <c r="N22" s="31" t="n">
        <v>35</v>
      </c>
      <c r="O22" s="31"/>
      <c r="P22" s="31"/>
      <c r="Q22" s="31" t="n">
        <v>24</v>
      </c>
      <c r="R22" s="31"/>
      <c r="S22" s="31"/>
      <c r="T22" s="31" t="n">
        <v>20</v>
      </c>
      <c r="U22" s="31"/>
      <c r="V22" s="31"/>
      <c r="W22" s="31" t="n">
        <v>2</v>
      </c>
      <c r="X22" s="31"/>
      <c r="Y22" s="31"/>
      <c r="Z22" s="31" t="n">
        <v>6</v>
      </c>
      <c r="AA22" s="31"/>
      <c r="AB22" s="31"/>
      <c r="AC22" s="31" t="n">
        <v>1</v>
      </c>
      <c r="AD22" s="31"/>
      <c r="AE22" s="31"/>
      <c r="AF22" s="31"/>
      <c r="AG22" s="31"/>
      <c r="AH22" s="31"/>
      <c r="AI22" s="31" t="n">
        <v>2</v>
      </c>
      <c r="AJ22" s="31"/>
      <c r="AK22" s="31"/>
      <c r="AL22" s="31" t="n">
        <v>2</v>
      </c>
      <c r="AM22" s="31"/>
      <c r="AN22" s="31"/>
      <c r="AO22" s="31" t="n">
        <v>60</v>
      </c>
      <c r="AP22" s="31"/>
      <c r="AQ22" s="31"/>
      <c r="AR22" s="31"/>
      <c r="AS22" s="31"/>
      <c r="AT22" s="31"/>
      <c r="AU22" s="31" t="n">
        <v>37</v>
      </c>
      <c r="AV22" s="31"/>
      <c r="AW22" s="31"/>
      <c r="AX22" s="31" t="n">
        <v>8</v>
      </c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 t="n">
        <v>950</v>
      </c>
      <c r="I23" s="31"/>
      <c r="J23" s="31"/>
      <c r="K23" s="31" t="n">
        <v>25</v>
      </c>
      <c r="L23" s="31"/>
      <c r="M23" s="31"/>
      <c r="N23" s="31" t="n">
        <v>85</v>
      </c>
      <c r="O23" s="31"/>
      <c r="P23" s="31"/>
      <c r="Q23" s="31" t="n">
        <v>10</v>
      </c>
      <c r="R23" s="31"/>
      <c r="S23" s="31"/>
      <c r="T23" s="31" t="n">
        <v>35</v>
      </c>
      <c r="U23" s="31"/>
      <c r="V23" s="31"/>
      <c r="W23" s="31"/>
      <c r="X23" s="31"/>
      <c r="Y23" s="31"/>
      <c r="Z23" s="31" t="n">
        <v>6</v>
      </c>
      <c r="AA23" s="31"/>
      <c r="AB23" s="31"/>
      <c r="AC23" s="31" t="n">
        <v>1</v>
      </c>
      <c r="AD23" s="31"/>
      <c r="AE23" s="31"/>
      <c r="AF23" s="31"/>
      <c r="AG23" s="31"/>
      <c r="AH23" s="31"/>
      <c r="AI23" s="31" t="n">
        <v>2</v>
      </c>
      <c r="AJ23" s="31"/>
      <c r="AK23" s="31"/>
      <c r="AL23" s="31" t="n">
        <v>2</v>
      </c>
      <c r="AM23" s="31"/>
      <c r="AN23" s="31"/>
      <c r="AO23" s="31" t="n">
        <v>220</v>
      </c>
      <c r="AP23" s="31"/>
      <c r="AQ23" s="31"/>
      <c r="AR23" s="31" t="n">
        <v>25</v>
      </c>
      <c r="AS23" s="31"/>
      <c r="AT23" s="31"/>
      <c r="AU23" s="31" t="n">
        <v>59</v>
      </c>
      <c r="AV23" s="31"/>
      <c r="AW23" s="31"/>
      <c r="AX23" s="31" t="n">
        <v>39</v>
      </c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370</v>
      </c>
      <c r="I24" s="31"/>
      <c r="J24" s="31"/>
      <c r="K24" s="31" t="n">
        <v>60</v>
      </c>
      <c r="L24" s="31"/>
      <c r="M24" s="31"/>
      <c r="N24" s="31" t="n">
        <v>40</v>
      </c>
      <c r="O24" s="31"/>
      <c r="P24" s="31"/>
      <c r="Q24" s="31" t="n">
        <v>56</v>
      </c>
      <c r="R24" s="31"/>
      <c r="S24" s="31"/>
      <c r="T24" s="31" t="n">
        <v>12</v>
      </c>
      <c r="U24" s="31"/>
      <c r="V24" s="31"/>
      <c r="W24" s="31" t="n">
        <v>5</v>
      </c>
      <c r="X24" s="31"/>
      <c r="Y24" s="31"/>
      <c r="Z24" s="31" t="n">
        <v>8</v>
      </c>
      <c r="AA24" s="31"/>
      <c r="AB24" s="31"/>
      <c r="AC24" s="31"/>
      <c r="AD24" s="31"/>
      <c r="AE24" s="31"/>
      <c r="AF24" s="31" t="n">
        <v>1</v>
      </c>
      <c r="AG24" s="31"/>
      <c r="AH24" s="31"/>
      <c r="AI24" s="31"/>
      <c r="AJ24" s="31"/>
      <c r="AK24" s="31"/>
      <c r="AL24" s="31"/>
      <c r="AM24" s="31"/>
      <c r="AN24" s="31"/>
      <c r="AO24" s="31" t="n">
        <v>45</v>
      </c>
      <c r="AP24" s="31"/>
      <c r="AQ24" s="31"/>
      <c r="AR24" s="31"/>
      <c r="AS24" s="31"/>
      <c r="AT24" s="31"/>
      <c r="AU24" s="31" t="n">
        <v>32</v>
      </c>
      <c r="AV24" s="31"/>
      <c r="AW24" s="31"/>
      <c r="AX24" s="31" t="n">
        <v>12</v>
      </c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 t="n">
        <v>490</v>
      </c>
      <c r="I25" s="31"/>
      <c r="J25" s="31"/>
      <c r="K25" s="31"/>
      <c r="L25" s="31"/>
      <c r="M25" s="31"/>
      <c r="N25" s="31" t="n">
        <v>50</v>
      </c>
      <c r="O25" s="31"/>
      <c r="P25" s="31"/>
      <c r="Q25" s="31"/>
      <c r="R25" s="31"/>
      <c r="S25" s="31"/>
      <c r="T25" s="31" t="n">
        <v>18</v>
      </c>
      <c r="U25" s="31"/>
      <c r="V25" s="31"/>
      <c r="W25" s="31"/>
      <c r="X25" s="31"/>
      <c r="Y25" s="31"/>
      <c r="Z25" s="31" t="n">
        <v>6</v>
      </c>
      <c r="AA25" s="31"/>
      <c r="AB25" s="31"/>
      <c r="AC25" s="31"/>
      <c r="AD25" s="31"/>
      <c r="AE25" s="31"/>
      <c r="AF25" s="31" t="n">
        <v>1</v>
      </c>
      <c r="AG25" s="31"/>
      <c r="AH25" s="31"/>
      <c r="AI25" s="31"/>
      <c r="AJ25" s="31"/>
      <c r="AK25" s="31"/>
      <c r="AL25" s="31" t="n">
        <v>2</v>
      </c>
      <c r="AM25" s="31"/>
      <c r="AN25" s="31"/>
      <c r="AO25" s="31" t="n">
        <v>120</v>
      </c>
      <c r="AP25" s="31"/>
      <c r="AQ25" s="31"/>
      <c r="AR25" s="31" t="n">
        <v>6</v>
      </c>
      <c r="AS25" s="31"/>
      <c r="AT25" s="31"/>
      <c r="AU25" s="31" t="n">
        <v>25</v>
      </c>
      <c r="AV25" s="31"/>
      <c r="AW25" s="31"/>
      <c r="AX25" s="31" t="n">
        <v>14</v>
      </c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480</v>
      </c>
      <c r="I26" s="31"/>
      <c r="J26" s="31"/>
      <c r="K26" s="31" t="n">
        <v>80</v>
      </c>
      <c r="L26" s="31"/>
      <c r="M26" s="31"/>
      <c r="N26" s="31" t="n">
        <v>50</v>
      </c>
      <c r="O26" s="31"/>
      <c r="P26" s="31"/>
      <c r="Q26" s="31" t="n">
        <v>20</v>
      </c>
      <c r="R26" s="31"/>
      <c r="S26" s="31"/>
      <c r="T26" s="31" t="n">
        <v>14</v>
      </c>
      <c r="U26" s="31"/>
      <c r="V26" s="31"/>
      <c r="W26" s="31" t="n">
        <v>2</v>
      </c>
      <c r="X26" s="31"/>
      <c r="Y26" s="31"/>
      <c r="Z26" s="31" t="n">
        <v>8</v>
      </c>
      <c r="AA26" s="31"/>
      <c r="AB26" s="31"/>
      <c r="AC26" s="31" t="n">
        <v>1</v>
      </c>
      <c r="AD26" s="31"/>
      <c r="AE26" s="31"/>
      <c r="AF26" s="31" t="n">
        <v>2</v>
      </c>
      <c r="AG26" s="31"/>
      <c r="AH26" s="31"/>
      <c r="AI26" s="31"/>
      <c r="AJ26" s="31"/>
      <c r="AK26" s="31"/>
      <c r="AL26" s="31" t="n">
        <v>2</v>
      </c>
      <c r="AM26" s="31"/>
      <c r="AN26" s="31"/>
      <c r="AO26" s="31" t="n">
        <v>58</v>
      </c>
      <c r="AP26" s="31"/>
      <c r="AQ26" s="31"/>
      <c r="AR26" s="31"/>
      <c r="AS26" s="31"/>
      <c r="AT26" s="31"/>
      <c r="AU26" s="31" t="n">
        <v>50</v>
      </c>
      <c r="AV26" s="31"/>
      <c r="AW26" s="31"/>
      <c r="AX26" s="31" t="n">
        <v>25</v>
      </c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 t="n">
        <v>930</v>
      </c>
      <c r="I27" s="31"/>
      <c r="J27" s="31"/>
      <c r="K27" s="31"/>
      <c r="L27" s="31"/>
      <c r="M27" s="31"/>
      <c r="N27" s="31" t="n">
        <v>60</v>
      </c>
      <c r="O27" s="31"/>
      <c r="P27" s="31"/>
      <c r="Q27" s="31"/>
      <c r="R27" s="31"/>
      <c r="S27" s="31"/>
      <c r="T27" s="31" t="n">
        <v>36</v>
      </c>
      <c r="U27" s="31"/>
      <c r="V27" s="31"/>
      <c r="W27" s="31"/>
      <c r="X27" s="31"/>
      <c r="Y27" s="31"/>
      <c r="Z27" s="31" t="n">
        <v>6</v>
      </c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 t="n">
        <v>75</v>
      </c>
      <c r="AP27" s="31"/>
      <c r="AQ27" s="31"/>
      <c r="AR27" s="31"/>
      <c r="AS27" s="31"/>
      <c r="AT27" s="31"/>
      <c r="AU27" s="31" t="n">
        <v>62</v>
      </c>
      <c r="AV27" s="31"/>
      <c r="AW27" s="31"/>
      <c r="AX27" s="31" t="n">
        <v>18</v>
      </c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770</v>
      </c>
      <c r="I28" s="31"/>
      <c r="J28" s="31"/>
      <c r="K28" s="31" t="n">
        <v>80</v>
      </c>
      <c r="L28" s="31"/>
      <c r="M28" s="31"/>
      <c r="N28" s="31"/>
      <c r="O28" s="31"/>
      <c r="P28" s="31"/>
      <c r="Q28" s="31" t="n">
        <v>40</v>
      </c>
      <c r="R28" s="31"/>
      <c r="S28" s="31"/>
      <c r="T28" s="31" t="n">
        <v>36</v>
      </c>
      <c r="U28" s="31"/>
      <c r="V28" s="31"/>
      <c r="W28" s="31" t="n">
        <v>3</v>
      </c>
      <c r="X28" s="31"/>
      <c r="Y28" s="31"/>
      <c r="Z28" s="31" t="n">
        <v>6</v>
      </c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 t="n">
        <v>2</v>
      </c>
      <c r="AM28" s="31"/>
      <c r="AN28" s="31"/>
      <c r="AO28" s="31" t="n">
        <v>56</v>
      </c>
      <c r="AP28" s="31"/>
      <c r="AQ28" s="31"/>
      <c r="AR28" s="31"/>
      <c r="AS28" s="31"/>
      <c r="AT28" s="31"/>
      <c r="AU28" s="31" t="n">
        <v>35</v>
      </c>
      <c r="AV28" s="31"/>
      <c r="AW28" s="31"/>
      <c r="AX28" s="31" t="n">
        <v>19</v>
      </c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8355</v>
      </c>
      <c r="I29" s="31"/>
      <c r="J29" s="31"/>
      <c r="K29" s="31" t="n">
        <f aca="false">SUM(K15:M28)</f>
        <v>510</v>
      </c>
      <c r="L29" s="31"/>
      <c r="M29" s="31"/>
      <c r="N29" s="31" t="n">
        <f aca="false">SUM(N15:P28)</f>
        <v>920</v>
      </c>
      <c r="O29" s="31"/>
      <c r="P29" s="31"/>
      <c r="Q29" s="31" t="n">
        <f aca="false">SUM(Q15:S28)</f>
        <v>294</v>
      </c>
      <c r="R29" s="31"/>
      <c r="S29" s="31"/>
      <c r="T29" s="31" t="n">
        <f aca="false">SUM(T15:V28)</f>
        <v>325</v>
      </c>
      <c r="U29" s="31"/>
      <c r="V29" s="31"/>
      <c r="W29" s="31" t="n">
        <f aca="false">SUM(W15:Y28)</f>
        <v>24</v>
      </c>
      <c r="X29" s="31"/>
      <c r="Y29" s="31"/>
      <c r="Z29" s="31" t="n">
        <f aca="false">SUM(Z15:AB28)</f>
        <v>94</v>
      </c>
      <c r="AA29" s="31"/>
      <c r="AB29" s="31"/>
      <c r="AC29" s="31" t="n">
        <f aca="false">SUM(AC15:AE28)</f>
        <v>17</v>
      </c>
      <c r="AD29" s="31"/>
      <c r="AE29" s="31"/>
      <c r="AF29" s="31" t="n">
        <f aca="false">SUM(AF15:AH28)</f>
        <v>13</v>
      </c>
      <c r="AG29" s="31"/>
      <c r="AH29" s="31"/>
      <c r="AI29" s="31" t="n">
        <f aca="false">SUM(AI15:AK28)</f>
        <v>23</v>
      </c>
      <c r="AJ29" s="31"/>
      <c r="AK29" s="31"/>
      <c r="AL29" s="31" t="n">
        <f aca="false">SUM(AL15:AN28)</f>
        <v>28</v>
      </c>
      <c r="AM29" s="31"/>
      <c r="AN29" s="31"/>
      <c r="AO29" s="31" t="n">
        <f aca="false">SUM(AO15:AQ28)</f>
        <v>1089</v>
      </c>
      <c r="AP29" s="31"/>
      <c r="AQ29" s="31"/>
      <c r="AR29" s="31" t="n">
        <f aca="false">SUM(AR15:AT28)</f>
        <v>34</v>
      </c>
      <c r="AS29" s="31"/>
      <c r="AT29" s="31"/>
      <c r="AU29" s="31" t="n">
        <f aca="false">SUM(AU15:AW28)</f>
        <v>656</v>
      </c>
      <c r="AV29" s="31"/>
      <c r="AW29" s="31"/>
      <c r="AX29" s="31" t="n">
        <f aca="false">SUM(AX15:AZ28)</f>
        <v>398</v>
      </c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1.773</v>
      </c>
      <c r="I30" s="34"/>
      <c r="J30" s="34"/>
      <c r="K30" s="34" t="n">
        <v>1.773</v>
      </c>
      <c r="L30" s="34"/>
      <c r="M30" s="34"/>
      <c r="N30" s="34" t="n">
        <v>1.395</v>
      </c>
      <c r="O30" s="34"/>
      <c r="P30" s="34"/>
      <c r="Q30" s="34" t="n">
        <v>0.9</v>
      </c>
      <c r="R30" s="34"/>
      <c r="S30" s="34"/>
      <c r="T30" s="34" t="n">
        <v>12.006</v>
      </c>
      <c r="U30" s="34"/>
      <c r="V30" s="34"/>
      <c r="W30" s="34" t="n">
        <v>81.4663928571429</v>
      </c>
      <c r="X30" s="34"/>
      <c r="Y30" s="34"/>
      <c r="Z30" s="34" t="n">
        <v>83.0706428571428</v>
      </c>
      <c r="AA30" s="34"/>
      <c r="AB30" s="34"/>
      <c r="AC30" s="34" t="n">
        <v>27.8839285714286</v>
      </c>
      <c r="AD30" s="34"/>
      <c r="AE30" s="34"/>
      <c r="AF30" s="34" t="n">
        <v>30.7578214285714</v>
      </c>
      <c r="AG30" s="34"/>
      <c r="AH30" s="34"/>
      <c r="AI30" s="34" t="n">
        <v>22.4424642857143</v>
      </c>
      <c r="AJ30" s="34"/>
      <c r="AK30" s="34"/>
      <c r="AL30" s="34" t="n">
        <v>23.5896428571429</v>
      </c>
      <c r="AM30" s="34"/>
      <c r="AN30" s="34"/>
      <c r="AO30" s="34" t="n">
        <v>0.166499999999999</v>
      </c>
      <c r="AP30" s="34"/>
      <c r="AQ30" s="34"/>
      <c r="AR30" s="34" t="n">
        <v>18.0951428571429</v>
      </c>
      <c r="AS30" s="34"/>
      <c r="AT30" s="34"/>
      <c r="AU30" s="34" t="n">
        <v>4.95</v>
      </c>
      <c r="AV30" s="34"/>
      <c r="AW30" s="34"/>
      <c r="AX30" s="34" t="n">
        <v>5.283</v>
      </c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14813.415</v>
      </c>
      <c r="I31" s="36"/>
      <c r="J31" s="36"/>
      <c r="K31" s="36" t="n">
        <f aca="false">K29*K30</f>
        <v>904.23</v>
      </c>
      <c r="L31" s="36"/>
      <c r="M31" s="36"/>
      <c r="N31" s="36" t="n">
        <f aca="false">N29*N30</f>
        <v>1283.4</v>
      </c>
      <c r="O31" s="36"/>
      <c r="P31" s="36"/>
      <c r="Q31" s="36" t="n">
        <f aca="false">Q29*Q30</f>
        <v>264.6</v>
      </c>
      <c r="R31" s="36"/>
      <c r="S31" s="36"/>
      <c r="T31" s="36" t="n">
        <f aca="false">T29*T30</f>
        <v>3901.95</v>
      </c>
      <c r="U31" s="36"/>
      <c r="V31" s="36"/>
      <c r="W31" s="36" t="n">
        <f aca="false">W29*W30</f>
        <v>1955.19342857143</v>
      </c>
      <c r="X31" s="36"/>
      <c r="Y31" s="36"/>
      <c r="Z31" s="36" t="n">
        <f aca="false">Z29*Z30</f>
        <v>7808.64042857143</v>
      </c>
      <c r="AA31" s="36"/>
      <c r="AB31" s="36"/>
      <c r="AC31" s="36" t="n">
        <f aca="false">AC29*AC30</f>
        <v>474.026785714286</v>
      </c>
      <c r="AD31" s="36"/>
      <c r="AE31" s="36"/>
      <c r="AF31" s="36" t="n">
        <f aca="false">AF29*AF30</f>
        <v>399.851678571429</v>
      </c>
      <c r="AG31" s="36"/>
      <c r="AH31" s="36"/>
      <c r="AI31" s="36" t="n">
        <f aca="false">AI29*AI30</f>
        <v>516.176678571429</v>
      </c>
      <c r="AJ31" s="36"/>
      <c r="AK31" s="36"/>
      <c r="AL31" s="36" t="n">
        <f aca="false">AL29*AL30</f>
        <v>660.51</v>
      </c>
      <c r="AM31" s="36"/>
      <c r="AN31" s="36"/>
      <c r="AO31" s="36" t="n">
        <f aca="false">AO29*AO30</f>
        <v>181.318499999999</v>
      </c>
      <c r="AP31" s="36"/>
      <c r="AQ31" s="36"/>
      <c r="AR31" s="36" t="n">
        <f aca="false">AR29*AR30</f>
        <v>615.234857142857</v>
      </c>
      <c r="AS31" s="36"/>
      <c r="AT31" s="36"/>
      <c r="AU31" s="36" t="n">
        <f aca="false">AU29*AU30</f>
        <v>3247.2</v>
      </c>
      <c r="AV31" s="36"/>
      <c r="AW31" s="36"/>
      <c r="AX31" s="36" t="n">
        <f aca="false">AX29*AX30</f>
        <v>2102.634</v>
      </c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39128.3813571429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2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83</v>
      </c>
      <c r="I9" s="21"/>
      <c r="J9" s="21"/>
      <c r="K9" s="21" t="s">
        <v>84</v>
      </c>
      <c r="L9" s="21"/>
      <c r="M9" s="21"/>
      <c r="N9" s="21" t="s">
        <v>85</v>
      </c>
      <c r="O9" s="21"/>
      <c r="P9" s="21"/>
      <c r="Q9" s="21" t="s">
        <v>85</v>
      </c>
      <c r="R9" s="21"/>
      <c r="S9" s="21"/>
      <c r="T9" s="21" t="s">
        <v>85</v>
      </c>
      <c r="U9" s="21"/>
      <c r="V9" s="21"/>
      <c r="W9" s="21" t="s">
        <v>85</v>
      </c>
      <c r="X9" s="21"/>
      <c r="Y9" s="21"/>
      <c r="Z9" s="21" t="s">
        <v>85</v>
      </c>
      <c r="AA9" s="21"/>
      <c r="AB9" s="21"/>
      <c r="AC9" s="21" t="s">
        <v>85</v>
      </c>
      <c r="AD9" s="21"/>
      <c r="AE9" s="21"/>
      <c r="AF9" s="21" t="s">
        <v>85</v>
      </c>
      <c r="AG9" s="21"/>
      <c r="AH9" s="21"/>
      <c r="AI9" s="21" t="s">
        <v>85</v>
      </c>
      <c r="AJ9" s="21"/>
      <c r="AK9" s="21"/>
      <c r="AL9" s="21" t="s">
        <v>85</v>
      </c>
      <c r="AM9" s="21"/>
      <c r="AN9" s="21"/>
      <c r="AO9" s="21" t="s">
        <v>85</v>
      </c>
      <c r="AP9" s="21"/>
      <c r="AQ9" s="21"/>
      <c r="AR9" s="21" t="s">
        <v>85</v>
      </c>
      <c r="AS9" s="21"/>
      <c r="AT9" s="21"/>
      <c r="AU9" s="21" t="s">
        <v>86</v>
      </c>
      <c r="AV9" s="21"/>
      <c r="AW9" s="21"/>
      <c r="AX9" s="21" t="s">
        <v>87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30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34</v>
      </c>
      <c r="R10" s="25"/>
      <c r="S10" s="25"/>
      <c r="T10" s="25" t="s">
        <v>35</v>
      </c>
      <c r="U10" s="25"/>
      <c r="V10" s="25"/>
      <c r="W10" s="25" t="s">
        <v>88</v>
      </c>
      <c r="X10" s="25"/>
      <c r="Y10" s="25"/>
      <c r="Z10" s="25" t="s">
        <v>36</v>
      </c>
      <c r="AA10" s="25"/>
      <c r="AB10" s="25"/>
      <c r="AC10" s="25" t="s">
        <v>89</v>
      </c>
      <c r="AD10" s="25"/>
      <c r="AE10" s="25"/>
      <c r="AF10" s="25" t="s">
        <v>37</v>
      </c>
      <c r="AG10" s="25"/>
      <c r="AH10" s="25"/>
      <c r="AI10" s="25" t="s">
        <v>90</v>
      </c>
      <c r="AJ10" s="25"/>
      <c r="AK10" s="25"/>
      <c r="AL10" s="25" t="s">
        <v>91</v>
      </c>
      <c r="AM10" s="25"/>
      <c r="AN10" s="25"/>
      <c r="AO10" s="25" t="s">
        <v>92</v>
      </c>
      <c r="AP10" s="25"/>
      <c r="AQ10" s="25"/>
      <c r="AR10" s="25" t="s">
        <v>93</v>
      </c>
      <c r="AS10" s="25"/>
      <c r="AT10" s="25"/>
      <c r="AU10" s="25" t="s">
        <v>29</v>
      </c>
      <c r="AV10" s="25"/>
      <c r="AW10" s="25"/>
      <c r="AX10" s="25" t="s">
        <v>29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94</v>
      </c>
      <c r="I11" s="27"/>
      <c r="J11" s="27"/>
      <c r="K11" s="27" t="s">
        <v>95</v>
      </c>
      <c r="L11" s="27"/>
      <c r="M11" s="27"/>
      <c r="N11" s="27" t="s">
        <v>96</v>
      </c>
      <c r="O11" s="27"/>
      <c r="P11" s="27"/>
      <c r="Q11" s="27" t="s">
        <v>97</v>
      </c>
      <c r="R11" s="27"/>
      <c r="S11" s="27"/>
      <c r="T11" s="27" t="s">
        <v>98</v>
      </c>
      <c r="U11" s="27"/>
      <c r="V11" s="27"/>
      <c r="W11" s="27" t="s">
        <v>99</v>
      </c>
      <c r="X11" s="27"/>
      <c r="Y11" s="27"/>
      <c r="Z11" s="27" t="s">
        <v>100</v>
      </c>
      <c r="AA11" s="27"/>
      <c r="AB11" s="27"/>
      <c r="AC11" s="27" t="s">
        <v>101</v>
      </c>
      <c r="AD11" s="27"/>
      <c r="AE11" s="27"/>
      <c r="AF11" s="27" t="s">
        <v>102</v>
      </c>
      <c r="AG11" s="27"/>
      <c r="AH11" s="27"/>
      <c r="AI11" s="27" t="s">
        <v>103</v>
      </c>
      <c r="AJ11" s="27"/>
      <c r="AK11" s="27"/>
      <c r="AL11" s="27" t="s">
        <v>104</v>
      </c>
      <c r="AM11" s="27"/>
      <c r="AN11" s="27"/>
      <c r="AO11" s="27" t="s">
        <v>105</v>
      </c>
      <c r="AP11" s="27"/>
      <c r="AQ11" s="27"/>
      <c r="AR11" s="27" t="s">
        <v>106</v>
      </c>
      <c r="AS11" s="27"/>
      <c r="AT11" s="27"/>
      <c r="AU11" s="27" t="s">
        <v>107</v>
      </c>
      <c r="AV11" s="27"/>
      <c r="AW11" s="27"/>
      <c r="AX11" s="27" t="s">
        <v>108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8</v>
      </c>
      <c r="I15" s="29"/>
      <c r="J15" s="29"/>
      <c r="K15" s="29" t="n">
        <v>1</v>
      </c>
      <c r="L15" s="29"/>
      <c r="M15" s="29"/>
      <c r="N15" s="29" t="n">
        <v>2</v>
      </c>
      <c r="O15" s="29"/>
      <c r="P15" s="29"/>
      <c r="Q15" s="29" t="n">
        <v>2</v>
      </c>
      <c r="R15" s="29"/>
      <c r="S15" s="29"/>
      <c r="T15" s="29" t="n">
        <v>1</v>
      </c>
      <c r="U15" s="29"/>
      <c r="V15" s="29"/>
      <c r="W15" s="29" t="n">
        <v>35</v>
      </c>
      <c r="X15" s="29"/>
      <c r="Y15" s="29"/>
      <c r="Z15" s="29" t="n">
        <v>9</v>
      </c>
      <c r="AA15" s="29"/>
      <c r="AB15" s="29"/>
      <c r="AC15" s="29"/>
      <c r="AD15" s="29"/>
      <c r="AE15" s="29"/>
      <c r="AF15" s="29" t="n">
        <v>2</v>
      </c>
      <c r="AG15" s="29"/>
      <c r="AH15" s="29"/>
      <c r="AI15" s="29" t="n">
        <v>3</v>
      </c>
      <c r="AJ15" s="29"/>
      <c r="AK15" s="29"/>
      <c r="AL15" s="29"/>
      <c r="AM15" s="29"/>
      <c r="AN15" s="29"/>
      <c r="AO15" s="29" t="n">
        <v>1</v>
      </c>
      <c r="AP15" s="29"/>
      <c r="AQ15" s="29"/>
      <c r="AR15" s="29" t="n">
        <v>1</v>
      </c>
      <c r="AS15" s="29"/>
      <c r="AT15" s="29"/>
      <c r="AU15" s="29" t="n">
        <v>240</v>
      </c>
      <c r="AV15" s="29"/>
      <c r="AW15" s="29"/>
      <c r="AX15" s="29" t="n">
        <v>2</v>
      </c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14</v>
      </c>
      <c r="I16" s="31"/>
      <c r="J16" s="31"/>
      <c r="K16" s="31" t="n">
        <v>1</v>
      </c>
      <c r="L16" s="31"/>
      <c r="M16" s="31"/>
      <c r="N16" s="31" t="n">
        <v>8</v>
      </c>
      <c r="O16" s="31"/>
      <c r="P16" s="31"/>
      <c r="Q16" s="31" t="n">
        <v>8</v>
      </c>
      <c r="R16" s="31"/>
      <c r="S16" s="31"/>
      <c r="T16" s="31" t="n">
        <v>6</v>
      </c>
      <c r="U16" s="31"/>
      <c r="V16" s="31"/>
      <c r="W16" s="31" t="n">
        <v>49</v>
      </c>
      <c r="X16" s="31"/>
      <c r="Y16" s="31"/>
      <c r="Z16" s="31" t="n">
        <v>11</v>
      </c>
      <c r="AA16" s="31"/>
      <c r="AB16" s="31"/>
      <c r="AC16" s="31" t="n">
        <v>35</v>
      </c>
      <c r="AD16" s="31"/>
      <c r="AE16" s="31"/>
      <c r="AF16" s="31" t="n">
        <v>9</v>
      </c>
      <c r="AG16" s="31"/>
      <c r="AH16" s="31"/>
      <c r="AI16" s="31"/>
      <c r="AJ16" s="31"/>
      <c r="AK16" s="31"/>
      <c r="AL16" s="31"/>
      <c r="AM16" s="31"/>
      <c r="AN16" s="31"/>
      <c r="AO16" s="31" t="n">
        <v>3</v>
      </c>
      <c r="AP16" s="31"/>
      <c r="AQ16" s="31"/>
      <c r="AR16" s="31" t="n">
        <v>3</v>
      </c>
      <c r="AS16" s="31"/>
      <c r="AT16" s="31"/>
      <c r="AU16" s="31" t="n">
        <v>250</v>
      </c>
      <c r="AV16" s="31"/>
      <c r="AW16" s="31"/>
      <c r="AX16" s="31" t="n">
        <v>5</v>
      </c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8</v>
      </c>
      <c r="I17" s="31"/>
      <c r="J17" s="31"/>
      <c r="K17" s="31" t="n">
        <v>1</v>
      </c>
      <c r="L17" s="31"/>
      <c r="M17" s="31"/>
      <c r="N17" s="31" t="n">
        <v>3</v>
      </c>
      <c r="O17" s="31"/>
      <c r="P17" s="31"/>
      <c r="Q17" s="31" t="n">
        <v>3</v>
      </c>
      <c r="R17" s="31"/>
      <c r="S17" s="31"/>
      <c r="T17" s="31" t="n">
        <v>2</v>
      </c>
      <c r="U17" s="31"/>
      <c r="V17" s="31"/>
      <c r="W17" s="31" t="n">
        <v>13</v>
      </c>
      <c r="X17" s="31"/>
      <c r="Y17" s="31"/>
      <c r="Z17" s="31" t="n">
        <v>8</v>
      </c>
      <c r="AA17" s="31"/>
      <c r="AB17" s="31"/>
      <c r="AC17" s="31" t="n">
        <v>2</v>
      </c>
      <c r="AD17" s="31"/>
      <c r="AE17" s="31"/>
      <c r="AF17" s="31"/>
      <c r="AG17" s="31"/>
      <c r="AH17" s="31"/>
      <c r="AI17" s="31" t="n">
        <v>4</v>
      </c>
      <c r="AJ17" s="31"/>
      <c r="AK17" s="31"/>
      <c r="AL17" s="31"/>
      <c r="AM17" s="31"/>
      <c r="AN17" s="31"/>
      <c r="AO17" s="31" t="n">
        <v>1</v>
      </c>
      <c r="AP17" s="31"/>
      <c r="AQ17" s="31"/>
      <c r="AR17" s="31" t="n">
        <v>3</v>
      </c>
      <c r="AS17" s="31"/>
      <c r="AT17" s="31"/>
      <c r="AU17" s="31" t="n">
        <v>350</v>
      </c>
      <c r="AV17" s="31"/>
      <c r="AW17" s="31"/>
      <c r="AX17" s="31" t="n">
        <v>3</v>
      </c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2</v>
      </c>
      <c r="I18" s="31"/>
      <c r="J18" s="31"/>
      <c r="K18" s="31" t="n">
        <v>1</v>
      </c>
      <c r="L18" s="31"/>
      <c r="M18" s="31"/>
      <c r="N18" s="31" t="n">
        <v>4</v>
      </c>
      <c r="O18" s="31"/>
      <c r="P18" s="31"/>
      <c r="Q18" s="31" t="n">
        <v>4</v>
      </c>
      <c r="R18" s="31"/>
      <c r="S18" s="31"/>
      <c r="T18" s="31"/>
      <c r="U18" s="31"/>
      <c r="V18" s="31"/>
      <c r="W18" s="31" t="n">
        <v>10</v>
      </c>
      <c r="X18" s="31"/>
      <c r="Y18" s="31"/>
      <c r="Z18" s="31" t="n">
        <v>10</v>
      </c>
      <c r="AA18" s="31"/>
      <c r="AB18" s="31"/>
      <c r="AC18" s="31" t="n">
        <v>6</v>
      </c>
      <c r="AD18" s="31"/>
      <c r="AE18" s="31"/>
      <c r="AF18" s="31" t="n">
        <v>4</v>
      </c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 t="n">
        <v>4</v>
      </c>
      <c r="AS18" s="31"/>
      <c r="AT18" s="31"/>
      <c r="AU18" s="31" t="n">
        <v>415</v>
      </c>
      <c r="AV18" s="31"/>
      <c r="AW18" s="31"/>
      <c r="AX18" s="31"/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</v>
      </c>
      <c r="I19" s="31"/>
      <c r="J19" s="31"/>
      <c r="K19" s="31" t="n">
        <v>1</v>
      </c>
      <c r="L19" s="31"/>
      <c r="M19" s="31"/>
      <c r="N19" s="31" t="n">
        <v>2</v>
      </c>
      <c r="O19" s="31"/>
      <c r="P19" s="31"/>
      <c r="Q19" s="31" t="n">
        <v>2</v>
      </c>
      <c r="R19" s="31"/>
      <c r="S19" s="31"/>
      <c r="T19" s="31" t="n">
        <v>2</v>
      </c>
      <c r="U19" s="31"/>
      <c r="V19" s="31"/>
      <c r="W19" s="31" t="n">
        <v>9</v>
      </c>
      <c r="X19" s="31"/>
      <c r="Y19" s="31"/>
      <c r="Z19" s="31" t="n">
        <v>3</v>
      </c>
      <c r="AA19" s="31"/>
      <c r="AB19" s="31"/>
      <c r="AC19" s="31" t="n">
        <v>1</v>
      </c>
      <c r="AD19" s="31"/>
      <c r="AE19" s="31"/>
      <c r="AF19" s="31"/>
      <c r="AG19" s="31"/>
      <c r="AH19" s="31"/>
      <c r="AI19" s="31" t="n">
        <v>4</v>
      </c>
      <c r="AJ19" s="31"/>
      <c r="AK19" s="31"/>
      <c r="AL19" s="31"/>
      <c r="AM19" s="31"/>
      <c r="AN19" s="31"/>
      <c r="AO19" s="31" t="n">
        <v>1</v>
      </c>
      <c r="AP19" s="31"/>
      <c r="AQ19" s="31"/>
      <c r="AR19" s="31" t="n">
        <v>2</v>
      </c>
      <c r="AS19" s="31"/>
      <c r="AT19" s="31"/>
      <c r="AU19" s="31" t="n">
        <v>360</v>
      </c>
      <c r="AV19" s="31"/>
      <c r="AW19" s="31"/>
      <c r="AX19" s="31" t="n">
        <v>2</v>
      </c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4</v>
      </c>
      <c r="I20" s="31"/>
      <c r="J20" s="31"/>
      <c r="K20" s="31" t="n">
        <v>1</v>
      </c>
      <c r="L20" s="31"/>
      <c r="M20" s="31"/>
      <c r="N20" s="31" t="n">
        <v>2</v>
      </c>
      <c r="O20" s="31"/>
      <c r="P20" s="31"/>
      <c r="Q20" s="31" t="n">
        <v>2</v>
      </c>
      <c r="R20" s="31"/>
      <c r="S20" s="31"/>
      <c r="T20" s="31"/>
      <c r="U20" s="31"/>
      <c r="V20" s="31"/>
      <c r="W20" s="31" t="n">
        <v>8</v>
      </c>
      <c r="X20" s="31"/>
      <c r="Y20" s="31"/>
      <c r="Z20" s="31" t="n">
        <v>6</v>
      </c>
      <c r="AA20" s="31"/>
      <c r="AB20" s="31"/>
      <c r="AC20" s="31" t="n">
        <v>2</v>
      </c>
      <c r="AD20" s="31"/>
      <c r="AE20" s="31"/>
      <c r="AF20" s="31" t="n">
        <v>2</v>
      </c>
      <c r="AG20" s="31"/>
      <c r="AH20" s="31"/>
      <c r="AI20" s="31" t="n">
        <v>1</v>
      </c>
      <c r="AJ20" s="31"/>
      <c r="AK20" s="31"/>
      <c r="AL20" s="31"/>
      <c r="AM20" s="31"/>
      <c r="AN20" s="31"/>
      <c r="AO20" s="31"/>
      <c r="AP20" s="31"/>
      <c r="AQ20" s="31"/>
      <c r="AR20" s="31" t="n">
        <v>2</v>
      </c>
      <c r="AS20" s="31"/>
      <c r="AT20" s="31"/>
      <c r="AU20" s="31" t="n">
        <v>410</v>
      </c>
      <c r="AV20" s="31"/>
      <c r="AW20" s="31"/>
      <c r="AX20" s="31"/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/>
      <c r="I21" s="31"/>
      <c r="J21" s="31"/>
      <c r="K21" s="31" t="n">
        <v>1</v>
      </c>
      <c r="L21" s="31"/>
      <c r="M21" s="31"/>
      <c r="N21" s="31" t="n">
        <v>3</v>
      </c>
      <c r="O21" s="31"/>
      <c r="P21" s="31"/>
      <c r="Q21" s="31" t="n">
        <v>3</v>
      </c>
      <c r="R21" s="31"/>
      <c r="S21" s="31"/>
      <c r="T21" s="31"/>
      <c r="U21" s="31"/>
      <c r="V21" s="31"/>
      <c r="W21" s="31" t="n">
        <v>7</v>
      </c>
      <c r="X21" s="31"/>
      <c r="Y21" s="31"/>
      <c r="Z21" s="31" t="n">
        <v>7</v>
      </c>
      <c r="AA21" s="31"/>
      <c r="AB21" s="31"/>
      <c r="AC21" s="31"/>
      <c r="AD21" s="31"/>
      <c r="AE21" s="31"/>
      <c r="AF21" s="31" t="n">
        <v>4</v>
      </c>
      <c r="AG21" s="31"/>
      <c r="AH21" s="31"/>
      <c r="AI21" s="31" t="n">
        <v>4</v>
      </c>
      <c r="AJ21" s="31"/>
      <c r="AK21" s="31"/>
      <c r="AL21" s="31"/>
      <c r="AM21" s="31"/>
      <c r="AN21" s="31"/>
      <c r="AO21" s="31"/>
      <c r="AP21" s="31"/>
      <c r="AQ21" s="31"/>
      <c r="AR21" s="31" t="n">
        <v>2</v>
      </c>
      <c r="AS21" s="31"/>
      <c r="AT21" s="31"/>
      <c r="AU21" s="31" t="n">
        <v>470</v>
      </c>
      <c r="AV21" s="31"/>
      <c r="AW21" s="31"/>
      <c r="AX21" s="31" t="n">
        <v>1</v>
      </c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4</v>
      </c>
      <c r="I22" s="31"/>
      <c r="J22" s="31"/>
      <c r="K22" s="31" t="n">
        <v>1</v>
      </c>
      <c r="L22" s="31"/>
      <c r="M22" s="31"/>
      <c r="N22" s="31" t="n">
        <v>7</v>
      </c>
      <c r="O22" s="31"/>
      <c r="P22" s="31"/>
      <c r="Q22" s="31" t="n">
        <v>7</v>
      </c>
      <c r="R22" s="31"/>
      <c r="S22" s="31"/>
      <c r="T22" s="31"/>
      <c r="U22" s="31"/>
      <c r="V22" s="31"/>
      <c r="W22" s="31" t="n">
        <v>11</v>
      </c>
      <c r="X22" s="31"/>
      <c r="Y22" s="31"/>
      <c r="Z22" s="31" t="n">
        <v>10</v>
      </c>
      <c r="AA22" s="31"/>
      <c r="AB22" s="31"/>
      <c r="AC22" s="31" t="n">
        <v>10</v>
      </c>
      <c r="AD22" s="31"/>
      <c r="AE22" s="31"/>
      <c r="AF22" s="31" t="n">
        <v>9</v>
      </c>
      <c r="AG22" s="31"/>
      <c r="AH22" s="31"/>
      <c r="AI22" s="31" t="n">
        <v>1</v>
      </c>
      <c r="AJ22" s="31"/>
      <c r="AK22" s="31"/>
      <c r="AL22" s="31"/>
      <c r="AM22" s="31"/>
      <c r="AN22" s="31"/>
      <c r="AO22" s="31"/>
      <c r="AP22" s="31"/>
      <c r="AQ22" s="31"/>
      <c r="AR22" s="31" t="n">
        <v>2</v>
      </c>
      <c r="AS22" s="31"/>
      <c r="AT22" s="31"/>
      <c r="AU22" s="31" t="n">
        <v>420</v>
      </c>
      <c r="AV22" s="31"/>
      <c r="AW22" s="31"/>
      <c r="AX22" s="31"/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 t="n">
        <v>10</v>
      </c>
      <c r="I23" s="31"/>
      <c r="J23" s="31"/>
      <c r="K23" s="31" t="n">
        <v>1</v>
      </c>
      <c r="L23" s="31"/>
      <c r="M23" s="31"/>
      <c r="N23" s="31" t="n">
        <v>7</v>
      </c>
      <c r="O23" s="31"/>
      <c r="P23" s="31"/>
      <c r="Q23" s="31" t="n">
        <v>7</v>
      </c>
      <c r="R23" s="31"/>
      <c r="S23" s="31"/>
      <c r="T23" s="31" t="n">
        <v>6</v>
      </c>
      <c r="U23" s="31"/>
      <c r="V23" s="31"/>
      <c r="W23" s="31" t="n">
        <v>40</v>
      </c>
      <c r="X23" s="31"/>
      <c r="Y23" s="31"/>
      <c r="Z23" s="31" t="n">
        <v>5</v>
      </c>
      <c r="AA23" s="31"/>
      <c r="AB23" s="31"/>
      <c r="AC23" s="31" t="n">
        <v>49</v>
      </c>
      <c r="AD23" s="31"/>
      <c r="AE23" s="31"/>
      <c r="AF23" s="31" t="n">
        <v>18</v>
      </c>
      <c r="AG23" s="31"/>
      <c r="AH23" s="31"/>
      <c r="AI23" s="31" t="n">
        <v>26</v>
      </c>
      <c r="AJ23" s="31"/>
      <c r="AK23" s="31"/>
      <c r="AL23" s="31"/>
      <c r="AM23" s="31"/>
      <c r="AN23" s="31"/>
      <c r="AO23" s="31" t="n">
        <v>1</v>
      </c>
      <c r="AP23" s="31"/>
      <c r="AQ23" s="31"/>
      <c r="AR23" s="31" t="n">
        <v>5</v>
      </c>
      <c r="AS23" s="31"/>
      <c r="AT23" s="31"/>
      <c r="AU23" s="31" t="n">
        <v>90</v>
      </c>
      <c r="AV23" s="31"/>
      <c r="AW23" s="31"/>
      <c r="AX23" s="31" t="n">
        <v>3</v>
      </c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3</v>
      </c>
      <c r="I24" s="31"/>
      <c r="J24" s="31"/>
      <c r="K24" s="31" t="n">
        <v>1</v>
      </c>
      <c r="L24" s="31"/>
      <c r="M24" s="31"/>
      <c r="N24" s="31" t="n">
        <v>3</v>
      </c>
      <c r="O24" s="31"/>
      <c r="P24" s="31"/>
      <c r="Q24" s="31" t="n">
        <v>3</v>
      </c>
      <c r="R24" s="31"/>
      <c r="S24" s="31"/>
      <c r="T24" s="31"/>
      <c r="U24" s="31"/>
      <c r="V24" s="31"/>
      <c r="W24" s="31" t="n">
        <v>5</v>
      </c>
      <c r="X24" s="31"/>
      <c r="Y24" s="31"/>
      <c r="Z24" s="31" t="n">
        <v>5</v>
      </c>
      <c r="AA24" s="31"/>
      <c r="AB24" s="31"/>
      <c r="AC24" s="31" t="n">
        <v>2</v>
      </c>
      <c r="AD24" s="31"/>
      <c r="AE24" s="31"/>
      <c r="AF24" s="31" t="n">
        <v>4</v>
      </c>
      <c r="AG24" s="31"/>
      <c r="AH24" s="31"/>
      <c r="AI24" s="31" t="n">
        <v>2</v>
      </c>
      <c r="AJ24" s="31"/>
      <c r="AK24" s="31"/>
      <c r="AL24" s="31"/>
      <c r="AM24" s="31"/>
      <c r="AN24" s="31"/>
      <c r="AO24" s="31"/>
      <c r="AP24" s="31"/>
      <c r="AQ24" s="31"/>
      <c r="AR24" s="31" t="n">
        <v>3</v>
      </c>
      <c r="AS24" s="31"/>
      <c r="AT24" s="31"/>
      <c r="AU24" s="31" t="n">
        <v>430</v>
      </c>
      <c r="AV24" s="31"/>
      <c r="AW24" s="31"/>
      <c r="AX24" s="31"/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 t="n">
        <v>4</v>
      </c>
      <c r="I25" s="31"/>
      <c r="J25" s="31"/>
      <c r="K25" s="31" t="n">
        <v>1</v>
      </c>
      <c r="L25" s="31"/>
      <c r="M25" s="31"/>
      <c r="N25" s="31" t="n">
        <v>5</v>
      </c>
      <c r="O25" s="31"/>
      <c r="P25" s="31"/>
      <c r="Q25" s="31" t="n">
        <v>5</v>
      </c>
      <c r="R25" s="31"/>
      <c r="S25" s="31"/>
      <c r="T25" s="31" t="n">
        <v>1</v>
      </c>
      <c r="U25" s="31"/>
      <c r="V25" s="31"/>
      <c r="W25" s="31" t="n">
        <v>11</v>
      </c>
      <c r="X25" s="31"/>
      <c r="Y25" s="31"/>
      <c r="Z25" s="31" t="n">
        <v>3</v>
      </c>
      <c r="AA25" s="31"/>
      <c r="AB25" s="31"/>
      <c r="AC25" s="31" t="n">
        <v>6</v>
      </c>
      <c r="AD25" s="31"/>
      <c r="AE25" s="31"/>
      <c r="AF25" s="31" t="n">
        <v>12</v>
      </c>
      <c r="AG25" s="31"/>
      <c r="AH25" s="31"/>
      <c r="AI25" s="31" t="n">
        <v>20</v>
      </c>
      <c r="AJ25" s="31"/>
      <c r="AK25" s="31"/>
      <c r="AL25" s="31"/>
      <c r="AM25" s="31"/>
      <c r="AN25" s="31"/>
      <c r="AO25" s="31" t="n">
        <v>1</v>
      </c>
      <c r="AP25" s="31"/>
      <c r="AQ25" s="31"/>
      <c r="AR25" s="31" t="n">
        <v>3</v>
      </c>
      <c r="AS25" s="31"/>
      <c r="AT25" s="31"/>
      <c r="AU25" s="31" t="n">
        <v>40</v>
      </c>
      <c r="AV25" s="31"/>
      <c r="AW25" s="31"/>
      <c r="AX25" s="31" t="n">
        <v>2</v>
      </c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4</v>
      </c>
      <c r="I26" s="31"/>
      <c r="J26" s="31"/>
      <c r="K26" s="31" t="n">
        <v>1</v>
      </c>
      <c r="L26" s="31"/>
      <c r="M26" s="31"/>
      <c r="N26" s="31" t="n">
        <v>3</v>
      </c>
      <c r="O26" s="31"/>
      <c r="P26" s="31"/>
      <c r="Q26" s="31" t="n">
        <v>3</v>
      </c>
      <c r="R26" s="31"/>
      <c r="S26" s="31"/>
      <c r="T26" s="31"/>
      <c r="U26" s="31"/>
      <c r="V26" s="31"/>
      <c r="W26" s="31" t="n">
        <v>9</v>
      </c>
      <c r="X26" s="31"/>
      <c r="Y26" s="31"/>
      <c r="Z26" s="31" t="n">
        <v>5</v>
      </c>
      <c r="AA26" s="31"/>
      <c r="AB26" s="31"/>
      <c r="AC26" s="31"/>
      <c r="AD26" s="31"/>
      <c r="AE26" s="31"/>
      <c r="AF26" s="31" t="n">
        <v>6</v>
      </c>
      <c r="AG26" s="31"/>
      <c r="AH26" s="31"/>
      <c r="AI26" s="31" t="n">
        <v>3</v>
      </c>
      <c r="AJ26" s="31"/>
      <c r="AK26" s="31"/>
      <c r="AL26" s="31"/>
      <c r="AM26" s="31"/>
      <c r="AN26" s="31"/>
      <c r="AO26" s="31"/>
      <c r="AP26" s="31"/>
      <c r="AQ26" s="31"/>
      <c r="AR26" s="31" t="n">
        <v>3</v>
      </c>
      <c r="AS26" s="31"/>
      <c r="AT26" s="31"/>
      <c r="AU26" s="31" t="n">
        <v>380</v>
      </c>
      <c r="AV26" s="31"/>
      <c r="AW26" s="31"/>
      <c r="AX26" s="31"/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 t="n">
        <v>9</v>
      </c>
      <c r="I27" s="31"/>
      <c r="J27" s="31"/>
      <c r="K27" s="31" t="n">
        <v>1</v>
      </c>
      <c r="L27" s="31"/>
      <c r="M27" s="31"/>
      <c r="N27" s="31" t="n">
        <v>3</v>
      </c>
      <c r="O27" s="31"/>
      <c r="P27" s="31"/>
      <c r="Q27" s="31" t="n">
        <v>6</v>
      </c>
      <c r="R27" s="31"/>
      <c r="S27" s="31"/>
      <c r="T27" s="31" t="n">
        <v>2</v>
      </c>
      <c r="U27" s="31"/>
      <c r="V27" s="31"/>
      <c r="W27" s="31" t="n">
        <v>30</v>
      </c>
      <c r="X27" s="31"/>
      <c r="Y27" s="31"/>
      <c r="Z27" s="31" t="n">
        <v>7</v>
      </c>
      <c r="AA27" s="31"/>
      <c r="AB27" s="31"/>
      <c r="AC27" s="31"/>
      <c r="AD27" s="31"/>
      <c r="AE27" s="31"/>
      <c r="AF27" s="31" t="n">
        <v>5</v>
      </c>
      <c r="AG27" s="31"/>
      <c r="AH27" s="31"/>
      <c r="AI27" s="31" t="n">
        <v>4</v>
      </c>
      <c r="AJ27" s="31"/>
      <c r="AK27" s="31"/>
      <c r="AL27" s="31" t="n">
        <v>3</v>
      </c>
      <c r="AM27" s="31"/>
      <c r="AN27" s="31"/>
      <c r="AO27" s="31" t="n">
        <v>1</v>
      </c>
      <c r="AP27" s="31"/>
      <c r="AQ27" s="31"/>
      <c r="AR27" s="31" t="n">
        <v>4</v>
      </c>
      <c r="AS27" s="31"/>
      <c r="AT27" s="31"/>
      <c r="AU27" s="31" t="n">
        <v>50</v>
      </c>
      <c r="AV27" s="31"/>
      <c r="AW27" s="31"/>
      <c r="AX27" s="31" t="n">
        <v>3</v>
      </c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9</v>
      </c>
      <c r="I28" s="31"/>
      <c r="J28" s="31"/>
      <c r="K28" s="31" t="n">
        <v>1</v>
      </c>
      <c r="L28" s="31"/>
      <c r="M28" s="31"/>
      <c r="N28" s="31" t="n">
        <v>3</v>
      </c>
      <c r="O28" s="31"/>
      <c r="P28" s="31"/>
      <c r="Q28" s="31" t="n">
        <v>5</v>
      </c>
      <c r="R28" s="31"/>
      <c r="S28" s="31"/>
      <c r="T28" s="31" t="n">
        <v>5</v>
      </c>
      <c r="U28" s="31"/>
      <c r="V28" s="31"/>
      <c r="W28" s="31" t="n">
        <v>23</v>
      </c>
      <c r="X28" s="31"/>
      <c r="Y28" s="31"/>
      <c r="Z28" s="31" t="n">
        <v>8</v>
      </c>
      <c r="AA28" s="31"/>
      <c r="AB28" s="31"/>
      <c r="AC28" s="31"/>
      <c r="AD28" s="31"/>
      <c r="AE28" s="31"/>
      <c r="AF28" s="31"/>
      <c r="AG28" s="31"/>
      <c r="AH28" s="31"/>
      <c r="AI28" s="31" t="n">
        <v>6</v>
      </c>
      <c r="AJ28" s="31"/>
      <c r="AK28" s="31"/>
      <c r="AL28" s="31" t="n">
        <v>2</v>
      </c>
      <c r="AM28" s="31"/>
      <c r="AN28" s="31"/>
      <c r="AO28" s="31" t="n">
        <v>3</v>
      </c>
      <c r="AP28" s="31"/>
      <c r="AQ28" s="31"/>
      <c r="AR28" s="31" t="n">
        <v>3</v>
      </c>
      <c r="AS28" s="31"/>
      <c r="AT28" s="31"/>
      <c r="AU28" s="31" t="n">
        <v>350</v>
      </c>
      <c r="AV28" s="31"/>
      <c r="AW28" s="31"/>
      <c r="AX28" s="31" t="n">
        <v>4</v>
      </c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83</v>
      </c>
      <c r="I29" s="31"/>
      <c r="J29" s="31"/>
      <c r="K29" s="31" t="n">
        <f aca="false">SUM(K15:M28)</f>
        <v>14</v>
      </c>
      <c r="L29" s="31"/>
      <c r="M29" s="31"/>
      <c r="N29" s="31" t="n">
        <f aca="false">SUM(N15:P28)</f>
        <v>55</v>
      </c>
      <c r="O29" s="31"/>
      <c r="P29" s="31"/>
      <c r="Q29" s="31" t="n">
        <f aca="false">SUM(Q15:S28)</f>
        <v>60</v>
      </c>
      <c r="R29" s="31"/>
      <c r="S29" s="31"/>
      <c r="T29" s="31" t="n">
        <f aca="false">SUM(T15:V28)</f>
        <v>25</v>
      </c>
      <c r="U29" s="31"/>
      <c r="V29" s="31"/>
      <c r="W29" s="31" t="n">
        <f aca="false">SUM(W15:Y28)</f>
        <v>260</v>
      </c>
      <c r="X29" s="31"/>
      <c r="Y29" s="31"/>
      <c r="Z29" s="31" t="n">
        <f aca="false">SUM(Z15:AB28)</f>
        <v>97</v>
      </c>
      <c r="AA29" s="31"/>
      <c r="AB29" s="31"/>
      <c r="AC29" s="31" t="n">
        <f aca="false">SUM(AC15:AE28)</f>
        <v>113</v>
      </c>
      <c r="AD29" s="31"/>
      <c r="AE29" s="31"/>
      <c r="AF29" s="31" t="n">
        <f aca="false">SUM(AF15:AH28)</f>
        <v>75</v>
      </c>
      <c r="AG29" s="31"/>
      <c r="AH29" s="31"/>
      <c r="AI29" s="31" t="n">
        <f aca="false">SUM(AI15:AK28)</f>
        <v>78</v>
      </c>
      <c r="AJ29" s="31"/>
      <c r="AK29" s="31"/>
      <c r="AL29" s="31" t="n">
        <f aca="false">SUM(AL15:AN28)</f>
        <v>5</v>
      </c>
      <c r="AM29" s="31"/>
      <c r="AN29" s="31"/>
      <c r="AO29" s="31" t="n">
        <f aca="false">SUM(AO15:AQ28)</f>
        <v>12</v>
      </c>
      <c r="AP29" s="31"/>
      <c r="AQ29" s="31"/>
      <c r="AR29" s="31" t="n">
        <f aca="false">SUM(AR15:AT28)</f>
        <v>40</v>
      </c>
      <c r="AS29" s="31"/>
      <c r="AT29" s="31"/>
      <c r="AU29" s="31" t="n">
        <f aca="false">SUM(AU15:AW28)</f>
        <v>4255</v>
      </c>
      <c r="AV29" s="31"/>
      <c r="AW29" s="31"/>
      <c r="AX29" s="31" t="n">
        <f aca="false">SUM(AX15:AZ28)</f>
        <v>25</v>
      </c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7.2</v>
      </c>
      <c r="I30" s="34"/>
      <c r="J30" s="34"/>
      <c r="K30" s="34" t="n">
        <v>164.484</v>
      </c>
      <c r="L30" s="34"/>
      <c r="M30" s="34"/>
      <c r="N30" s="34" t="n">
        <v>5.4</v>
      </c>
      <c r="O30" s="34"/>
      <c r="P30" s="34"/>
      <c r="Q30" s="34" t="n">
        <v>27.018</v>
      </c>
      <c r="R30" s="34"/>
      <c r="S30" s="34"/>
      <c r="T30" s="34" t="n">
        <v>18.009</v>
      </c>
      <c r="U30" s="34"/>
      <c r="V30" s="34"/>
      <c r="W30" s="34" t="n">
        <v>21.015</v>
      </c>
      <c r="X30" s="34"/>
      <c r="Y30" s="34"/>
      <c r="Z30" s="34" t="n">
        <v>3.006</v>
      </c>
      <c r="AA30" s="34"/>
      <c r="AB30" s="34"/>
      <c r="AC30" s="34" t="n">
        <v>4.203</v>
      </c>
      <c r="AD30" s="34"/>
      <c r="AE30" s="34"/>
      <c r="AF30" s="34" t="n">
        <v>4.806</v>
      </c>
      <c r="AG30" s="34"/>
      <c r="AH30" s="34"/>
      <c r="AI30" s="34" t="n">
        <v>6.606</v>
      </c>
      <c r="AJ30" s="34"/>
      <c r="AK30" s="34"/>
      <c r="AL30" s="34" t="n">
        <v>6.003</v>
      </c>
      <c r="AM30" s="34"/>
      <c r="AN30" s="34"/>
      <c r="AO30" s="34" t="n">
        <v>18.009</v>
      </c>
      <c r="AP30" s="34"/>
      <c r="AQ30" s="34"/>
      <c r="AR30" s="34" t="n">
        <v>21.015</v>
      </c>
      <c r="AS30" s="34"/>
      <c r="AT30" s="34"/>
      <c r="AU30" s="34" t="n">
        <v>0.9</v>
      </c>
      <c r="AV30" s="34"/>
      <c r="AW30" s="34"/>
      <c r="AX30" s="34" t="n">
        <v>12.006</v>
      </c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597.6</v>
      </c>
      <c r="I31" s="36"/>
      <c r="J31" s="36"/>
      <c r="K31" s="36" t="n">
        <f aca="false">K29*K30</f>
        <v>2302.776</v>
      </c>
      <c r="L31" s="36"/>
      <c r="M31" s="36"/>
      <c r="N31" s="36" t="n">
        <f aca="false">N29*N30</f>
        <v>297</v>
      </c>
      <c r="O31" s="36"/>
      <c r="P31" s="36"/>
      <c r="Q31" s="36" t="n">
        <f aca="false">Q29*Q30</f>
        <v>1621.08</v>
      </c>
      <c r="R31" s="36"/>
      <c r="S31" s="36"/>
      <c r="T31" s="36" t="n">
        <f aca="false">T29*T30</f>
        <v>450.225</v>
      </c>
      <c r="U31" s="36"/>
      <c r="V31" s="36"/>
      <c r="W31" s="36" t="n">
        <f aca="false">W29*W30</f>
        <v>5463.9</v>
      </c>
      <c r="X31" s="36"/>
      <c r="Y31" s="36"/>
      <c r="Z31" s="36" t="n">
        <f aca="false">Z29*Z30</f>
        <v>291.582</v>
      </c>
      <c r="AA31" s="36"/>
      <c r="AB31" s="36"/>
      <c r="AC31" s="36" t="n">
        <f aca="false">AC29*AC30</f>
        <v>474.939</v>
      </c>
      <c r="AD31" s="36"/>
      <c r="AE31" s="36"/>
      <c r="AF31" s="36" t="n">
        <f aca="false">AF29*AF30</f>
        <v>360.45</v>
      </c>
      <c r="AG31" s="36"/>
      <c r="AH31" s="36"/>
      <c r="AI31" s="36" t="n">
        <f aca="false">AI29*AI30</f>
        <v>515.268</v>
      </c>
      <c r="AJ31" s="36"/>
      <c r="AK31" s="36"/>
      <c r="AL31" s="36" t="n">
        <f aca="false">AL29*AL30</f>
        <v>30.015</v>
      </c>
      <c r="AM31" s="36"/>
      <c r="AN31" s="36"/>
      <c r="AO31" s="36" t="n">
        <f aca="false">AO29*AO30</f>
        <v>216.108</v>
      </c>
      <c r="AP31" s="36"/>
      <c r="AQ31" s="36"/>
      <c r="AR31" s="36" t="n">
        <f aca="false">AR29*AR30</f>
        <v>840.6</v>
      </c>
      <c r="AS31" s="36"/>
      <c r="AT31" s="36"/>
      <c r="AU31" s="36" t="n">
        <f aca="false">AU29*AU30</f>
        <v>3829.5</v>
      </c>
      <c r="AV31" s="36"/>
      <c r="AW31" s="36"/>
      <c r="AX31" s="36" t="n">
        <f aca="false">AX29*AX30</f>
        <v>300.15</v>
      </c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17591.193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3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87</v>
      </c>
      <c r="I9" s="21"/>
      <c r="J9" s="21"/>
      <c r="K9" s="21" t="s">
        <v>109</v>
      </c>
      <c r="L9" s="21"/>
      <c r="M9" s="21"/>
      <c r="N9" s="21" t="s">
        <v>109</v>
      </c>
      <c r="O9" s="21"/>
      <c r="P9" s="21"/>
      <c r="Q9" s="21" t="s">
        <v>110</v>
      </c>
      <c r="R9" s="21"/>
      <c r="S9" s="21"/>
      <c r="T9" s="21" t="s">
        <v>111</v>
      </c>
      <c r="U9" s="21"/>
      <c r="V9" s="21"/>
      <c r="W9" s="21" t="s">
        <v>112</v>
      </c>
      <c r="X9" s="21"/>
      <c r="Y9" s="21"/>
      <c r="Z9" s="21" t="s">
        <v>113</v>
      </c>
      <c r="AA9" s="21"/>
      <c r="AB9" s="21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30</v>
      </c>
      <c r="I10" s="25"/>
      <c r="J10" s="25"/>
      <c r="K10" s="25" t="s">
        <v>29</v>
      </c>
      <c r="L10" s="25"/>
      <c r="M10" s="25"/>
      <c r="N10" s="25" t="s">
        <v>30</v>
      </c>
      <c r="O10" s="25"/>
      <c r="P10" s="25"/>
      <c r="Q10" s="25" t="s">
        <v>29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29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114</v>
      </c>
      <c r="I11" s="27"/>
      <c r="J11" s="27"/>
      <c r="K11" s="27" t="s">
        <v>115</v>
      </c>
      <c r="L11" s="27"/>
      <c r="M11" s="27"/>
      <c r="N11" s="27" t="s">
        <v>116</v>
      </c>
      <c r="O11" s="27"/>
      <c r="P11" s="27"/>
      <c r="Q11" s="27" t="s">
        <v>117</v>
      </c>
      <c r="R11" s="27"/>
      <c r="S11" s="27"/>
      <c r="T11" s="27" t="s">
        <v>118</v>
      </c>
      <c r="U11" s="27"/>
      <c r="V11" s="27"/>
      <c r="W11" s="27" t="s">
        <v>119</v>
      </c>
      <c r="X11" s="27"/>
      <c r="Y11" s="27"/>
      <c r="Z11" s="27" t="s">
        <v>120</v>
      </c>
      <c r="AA11" s="27"/>
      <c r="AB11" s="27"/>
      <c r="AC11" s="27"/>
      <c r="AD11" s="27"/>
      <c r="AE11" s="27"/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15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/>
      <c r="I15" s="29"/>
      <c r="J15" s="29"/>
      <c r="K15" s="29" t="n">
        <v>20</v>
      </c>
      <c r="L15" s="29"/>
      <c r="M15" s="29"/>
      <c r="N15" s="29" t="n">
        <v>11</v>
      </c>
      <c r="O15" s="29"/>
      <c r="P15" s="29"/>
      <c r="Q15" s="29" t="n">
        <v>10</v>
      </c>
      <c r="R15" s="29"/>
      <c r="S15" s="29"/>
      <c r="T15" s="29" t="n">
        <v>1</v>
      </c>
      <c r="U15" s="29"/>
      <c r="V15" s="29"/>
      <c r="W15" s="29" t="n">
        <v>35</v>
      </c>
      <c r="X15" s="29"/>
      <c r="Y15" s="29"/>
      <c r="Z15" s="29" t="n">
        <v>10</v>
      </c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customFormat="false" ht="15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6</v>
      </c>
      <c r="I16" s="31"/>
      <c r="J16" s="31"/>
      <c r="K16" s="31" t="n">
        <v>40</v>
      </c>
      <c r="L16" s="31"/>
      <c r="M16" s="31"/>
      <c r="N16" s="31" t="n">
        <v>10</v>
      </c>
      <c r="O16" s="31"/>
      <c r="P16" s="31"/>
      <c r="Q16" s="31" t="n">
        <v>25</v>
      </c>
      <c r="R16" s="31"/>
      <c r="S16" s="31"/>
      <c r="T16" s="31" t="n">
        <v>5</v>
      </c>
      <c r="U16" s="31"/>
      <c r="V16" s="31"/>
      <c r="W16" s="31" t="n">
        <v>40</v>
      </c>
      <c r="X16" s="31"/>
      <c r="Y16" s="31"/>
      <c r="Z16" s="31" t="n">
        <v>15</v>
      </c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</row>
    <row r="17" customFormat="false" ht="15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5</v>
      </c>
      <c r="I17" s="31"/>
      <c r="J17" s="31"/>
      <c r="K17" s="31" t="n">
        <v>35</v>
      </c>
      <c r="L17" s="31"/>
      <c r="M17" s="31"/>
      <c r="N17" s="31" t="n">
        <v>20</v>
      </c>
      <c r="O17" s="31"/>
      <c r="P17" s="31"/>
      <c r="Q17" s="31" t="n">
        <v>30</v>
      </c>
      <c r="R17" s="31"/>
      <c r="S17" s="31"/>
      <c r="T17" s="31" t="n">
        <v>2</v>
      </c>
      <c r="U17" s="31"/>
      <c r="V17" s="31"/>
      <c r="W17" s="31" t="n">
        <v>75</v>
      </c>
      <c r="X17" s="31"/>
      <c r="Y17" s="31"/>
      <c r="Z17" s="31" t="n">
        <v>12</v>
      </c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</row>
    <row r="18" customFormat="false" ht="15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9</v>
      </c>
      <c r="I18" s="31"/>
      <c r="J18" s="31"/>
      <c r="K18" s="31" t="n">
        <v>25</v>
      </c>
      <c r="L18" s="31"/>
      <c r="M18" s="31"/>
      <c r="N18" s="31" t="n">
        <v>18</v>
      </c>
      <c r="O18" s="31"/>
      <c r="P18" s="31"/>
      <c r="Q18" s="31" t="n">
        <v>40</v>
      </c>
      <c r="R18" s="31"/>
      <c r="S18" s="31"/>
      <c r="T18" s="31" t="n">
        <v>5</v>
      </c>
      <c r="U18" s="31"/>
      <c r="V18" s="31"/>
      <c r="W18" s="31" t="n">
        <v>85</v>
      </c>
      <c r="X18" s="31"/>
      <c r="Y18" s="31"/>
      <c r="Z18" s="31" t="n">
        <v>8</v>
      </c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</row>
    <row r="19" customFormat="false" ht="15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</v>
      </c>
      <c r="I19" s="31"/>
      <c r="J19" s="31"/>
      <c r="K19" s="31" t="n">
        <v>40</v>
      </c>
      <c r="L19" s="31"/>
      <c r="M19" s="31"/>
      <c r="N19" s="31" t="n">
        <v>24</v>
      </c>
      <c r="O19" s="31"/>
      <c r="P19" s="31"/>
      <c r="Q19" s="31" t="n">
        <v>30</v>
      </c>
      <c r="R19" s="31"/>
      <c r="S19" s="31"/>
      <c r="T19" s="31" t="n">
        <v>2</v>
      </c>
      <c r="U19" s="31"/>
      <c r="V19" s="31"/>
      <c r="W19" s="31" t="n">
        <v>70</v>
      </c>
      <c r="X19" s="31"/>
      <c r="Y19" s="31"/>
      <c r="Z19" s="31" t="n">
        <v>15</v>
      </c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customFormat="false" ht="15" hidden="false" customHeight="true" outlineLevel="0" collapsed="false">
      <c r="A20" s="30" t="s">
        <v>59</v>
      </c>
      <c r="B20" s="30"/>
      <c r="C20" s="30"/>
      <c r="D20" s="30"/>
      <c r="E20" s="30"/>
      <c r="F20" s="30"/>
      <c r="G20" s="30"/>
      <c r="H20" s="31" t="n">
        <v>10</v>
      </c>
      <c r="I20" s="31"/>
      <c r="J20" s="31"/>
      <c r="K20" s="31" t="n">
        <v>30</v>
      </c>
      <c r="L20" s="31"/>
      <c r="M20" s="31"/>
      <c r="N20" s="31" t="n">
        <v>15</v>
      </c>
      <c r="O20" s="31"/>
      <c r="P20" s="31"/>
      <c r="Q20" s="31" t="n">
        <v>45</v>
      </c>
      <c r="R20" s="31"/>
      <c r="S20" s="31"/>
      <c r="T20" s="31" t="n">
        <v>4</v>
      </c>
      <c r="U20" s="31"/>
      <c r="V20" s="31"/>
      <c r="W20" s="31" t="n">
        <v>65</v>
      </c>
      <c r="X20" s="31"/>
      <c r="Y20" s="31"/>
      <c r="Z20" s="31" t="n">
        <v>14</v>
      </c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15" hidden="false" customHeight="true" outlineLevel="0" collapsed="false">
      <c r="A21" s="30" t="s">
        <v>60</v>
      </c>
      <c r="B21" s="30"/>
      <c r="C21" s="30"/>
      <c r="D21" s="30"/>
      <c r="E21" s="30"/>
      <c r="F21" s="30"/>
      <c r="G21" s="30"/>
      <c r="H21" s="31" t="n">
        <v>7</v>
      </c>
      <c r="I21" s="31"/>
      <c r="J21" s="31"/>
      <c r="K21" s="31" t="n">
        <v>20</v>
      </c>
      <c r="L21" s="31"/>
      <c r="M21" s="31"/>
      <c r="N21" s="31" t="n">
        <v>25</v>
      </c>
      <c r="O21" s="31"/>
      <c r="P21" s="31"/>
      <c r="Q21" s="31" t="n">
        <v>40</v>
      </c>
      <c r="R21" s="31"/>
      <c r="S21" s="31"/>
      <c r="T21" s="31" t="n">
        <v>5</v>
      </c>
      <c r="U21" s="31"/>
      <c r="V21" s="31"/>
      <c r="W21" s="31" t="n">
        <v>90</v>
      </c>
      <c r="X21" s="31"/>
      <c r="Y21" s="31"/>
      <c r="Z21" s="31" t="n">
        <v>11</v>
      </c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5" hidden="false" customHeight="true" outlineLevel="0" collapsed="false">
      <c r="A22" s="30" t="s">
        <v>61</v>
      </c>
      <c r="B22" s="30"/>
      <c r="C22" s="30"/>
      <c r="D22" s="30"/>
      <c r="E22" s="30"/>
      <c r="F22" s="30"/>
      <c r="G22" s="30"/>
      <c r="H22" s="31" t="n">
        <v>10</v>
      </c>
      <c r="I22" s="31"/>
      <c r="J22" s="31"/>
      <c r="K22" s="31" t="n">
        <v>25</v>
      </c>
      <c r="L22" s="31"/>
      <c r="M22" s="31"/>
      <c r="N22" s="31" t="n">
        <v>24</v>
      </c>
      <c r="O22" s="31"/>
      <c r="P22" s="31"/>
      <c r="Q22" s="31" t="n">
        <v>35</v>
      </c>
      <c r="R22" s="31"/>
      <c r="S22" s="31"/>
      <c r="T22" s="31" t="n">
        <v>4</v>
      </c>
      <c r="U22" s="31"/>
      <c r="V22" s="31"/>
      <c r="W22" s="31" t="n">
        <v>65</v>
      </c>
      <c r="X22" s="31"/>
      <c r="Y22" s="31"/>
      <c r="Z22" s="31" t="n">
        <v>16</v>
      </c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customFormat="false" ht="15" hidden="false" customHeight="true" outlineLevel="0" collapsed="false">
      <c r="A23" s="30" t="s">
        <v>62</v>
      </c>
      <c r="B23" s="30"/>
      <c r="C23" s="30"/>
      <c r="D23" s="30"/>
      <c r="E23" s="30"/>
      <c r="F23" s="30"/>
      <c r="G23" s="30"/>
      <c r="H23" s="31"/>
      <c r="I23" s="31"/>
      <c r="J23" s="31"/>
      <c r="K23" s="31" t="n">
        <v>40</v>
      </c>
      <c r="L23" s="31"/>
      <c r="M23" s="31"/>
      <c r="N23" s="31" t="n">
        <v>18</v>
      </c>
      <c r="O23" s="31"/>
      <c r="P23" s="31"/>
      <c r="Q23" s="31" t="n">
        <v>5</v>
      </c>
      <c r="R23" s="31"/>
      <c r="S23" s="31"/>
      <c r="T23" s="31" t="n">
        <v>2</v>
      </c>
      <c r="U23" s="31"/>
      <c r="V23" s="31"/>
      <c r="W23" s="31"/>
      <c r="X23" s="31"/>
      <c r="Y23" s="31"/>
      <c r="Z23" s="31" t="n">
        <v>6</v>
      </c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</row>
    <row r="24" customFormat="false" ht="15" hidden="false" customHeight="true" outlineLevel="0" collapsed="false">
      <c r="A24" s="30" t="s">
        <v>63</v>
      </c>
      <c r="B24" s="30"/>
      <c r="C24" s="30"/>
      <c r="D24" s="30"/>
      <c r="E24" s="30"/>
      <c r="F24" s="30"/>
      <c r="G24" s="30"/>
      <c r="H24" s="31" t="n">
        <v>10</v>
      </c>
      <c r="I24" s="31"/>
      <c r="J24" s="31"/>
      <c r="K24" s="31" t="n">
        <v>50</v>
      </c>
      <c r="L24" s="31"/>
      <c r="M24" s="31"/>
      <c r="N24" s="31" t="n">
        <v>21</v>
      </c>
      <c r="O24" s="31"/>
      <c r="P24" s="31"/>
      <c r="Q24" s="31" t="n">
        <v>50</v>
      </c>
      <c r="R24" s="31"/>
      <c r="S24" s="31"/>
      <c r="T24" s="31" t="n">
        <v>3</v>
      </c>
      <c r="U24" s="31"/>
      <c r="V24" s="31"/>
      <c r="W24" s="31" t="n">
        <v>85</v>
      </c>
      <c r="X24" s="31"/>
      <c r="Y24" s="31"/>
      <c r="Z24" s="31" t="n">
        <v>12</v>
      </c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</row>
    <row r="25" customFormat="false" ht="15" hidden="false" customHeight="true" outlineLevel="0" collapsed="false">
      <c r="A25" s="30" t="s">
        <v>64</v>
      </c>
      <c r="B25" s="30"/>
      <c r="C25" s="30"/>
      <c r="D25" s="30"/>
      <c r="E25" s="30"/>
      <c r="F25" s="30"/>
      <c r="G25" s="30"/>
      <c r="H25" s="31"/>
      <c r="I25" s="31"/>
      <c r="J25" s="31"/>
      <c r="K25" s="31" t="n">
        <v>35</v>
      </c>
      <c r="L25" s="31"/>
      <c r="M25" s="31"/>
      <c r="N25" s="31" t="n">
        <v>13</v>
      </c>
      <c r="O25" s="31"/>
      <c r="P25" s="31"/>
      <c r="Q25" s="31" t="n">
        <v>5</v>
      </c>
      <c r="R25" s="31"/>
      <c r="S25" s="31"/>
      <c r="T25" s="31" t="n">
        <v>1</v>
      </c>
      <c r="U25" s="31"/>
      <c r="V25" s="31"/>
      <c r="W25" s="31"/>
      <c r="X25" s="31"/>
      <c r="Y25" s="31"/>
      <c r="Z25" s="31" t="n">
        <v>14</v>
      </c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</row>
    <row r="26" customFormat="false" ht="15" hidden="false" customHeight="true" outlineLevel="0" collapsed="false">
      <c r="A26" s="30" t="s">
        <v>65</v>
      </c>
      <c r="B26" s="30"/>
      <c r="C26" s="30"/>
      <c r="D26" s="30"/>
      <c r="E26" s="30"/>
      <c r="F26" s="30"/>
      <c r="G26" s="30"/>
      <c r="H26" s="31" t="n">
        <v>7</v>
      </c>
      <c r="I26" s="31"/>
      <c r="J26" s="31"/>
      <c r="K26" s="31" t="n">
        <v>25</v>
      </c>
      <c r="L26" s="31"/>
      <c r="M26" s="31"/>
      <c r="N26" s="31" t="n">
        <v>24</v>
      </c>
      <c r="O26" s="31"/>
      <c r="P26" s="31"/>
      <c r="Q26" s="31" t="n">
        <v>40</v>
      </c>
      <c r="R26" s="31"/>
      <c r="S26" s="31"/>
      <c r="T26" s="31" t="n">
        <v>4</v>
      </c>
      <c r="U26" s="31"/>
      <c r="V26" s="31"/>
      <c r="W26" s="31" t="n">
        <v>75</v>
      </c>
      <c r="X26" s="31"/>
      <c r="Y26" s="31"/>
      <c r="Z26" s="31" t="n">
        <v>12</v>
      </c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</row>
    <row r="27" customFormat="false" ht="15" hidden="false" customHeight="true" outlineLevel="0" collapsed="false">
      <c r="A27" s="30" t="s">
        <v>66</v>
      </c>
      <c r="B27" s="30"/>
      <c r="C27" s="30"/>
      <c r="D27" s="30"/>
      <c r="E27" s="30"/>
      <c r="F27" s="30"/>
      <c r="G27" s="30"/>
      <c r="H27" s="31"/>
      <c r="I27" s="31"/>
      <c r="J27" s="31"/>
      <c r="K27" s="31" t="n">
        <v>30</v>
      </c>
      <c r="L27" s="31"/>
      <c r="M27" s="31"/>
      <c r="N27" s="31" t="n">
        <v>18</v>
      </c>
      <c r="O27" s="31"/>
      <c r="P27" s="31"/>
      <c r="Q27" s="31" t="n">
        <v>10</v>
      </c>
      <c r="R27" s="31"/>
      <c r="S27" s="31"/>
      <c r="T27" s="31" t="n">
        <v>2</v>
      </c>
      <c r="U27" s="31"/>
      <c r="V27" s="31"/>
      <c r="W27" s="31"/>
      <c r="X27" s="31"/>
      <c r="Y27" s="31"/>
      <c r="Z27" s="31" t="n">
        <v>10</v>
      </c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</row>
    <row r="28" customFormat="false" ht="15" hidden="false" customHeight="true" outlineLevel="0" collapsed="false">
      <c r="A28" s="30" t="s">
        <v>67</v>
      </c>
      <c r="B28" s="30"/>
      <c r="C28" s="30"/>
      <c r="D28" s="30"/>
      <c r="E28" s="30"/>
      <c r="F28" s="30"/>
      <c r="G28" s="30"/>
      <c r="H28" s="31" t="n">
        <v>6</v>
      </c>
      <c r="I28" s="31"/>
      <c r="J28" s="31"/>
      <c r="K28" s="31" t="n">
        <v>45</v>
      </c>
      <c r="L28" s="31"/>
      <c r="M28" s="31"/>
      <c r="N28" s="31" t="n">
        <v>14</v>
      </c>
      <c r="O28" s="31"/>
      <c r="P28" s="31"/>
      <c r="Q28" s="31" t="n">
        <v>45</v>
      </c>
      <c r="R28" s="31"/>
      <c r="S28" s="31"/>
      <c r="T28" s="31" t="n">
        <v>5</v>
      </c>
      <c r="U28" s="31"/>
      <c r="V28" s="31"/>
      <c r="W28" s="31" t="n">
        <v>60</v>
      </c>
      <c r="X28" s="31"/>
      <c r="Y28" s="31"/>
      <c r="Z28" s="31" t="n">
        <v>8</v>
      </c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</row>
    <row r="29" customFormat="false" ht="18.75" hidden="false" customHeight="true" outlineLevel="0" collapsed="false">
      <c r="A29" s="32" t="s">
        <v>68</v>
      </c>
      <c r="B29" s="32"/>
      <c r="C29" s="32"/>
      <c r="D29" s="32"/>
      <c r="E29" s="32"/>
      <c r="F29" s="32"/>
      <c r="G29" s="32"/>
      <c r="H29" s="31" t="n">
        <f aca="false">SUM(H15:J28)</f>
        <v>74</v>
      </c>
      <c r="I29" s="31"/>
      <c r="J29" s="31"/>
      <c r="K29" s="31" t="n">
        <f aca="false">SUM(K15:M28)</f>
        <v>460</v>
      </c>
      <c r="L29" s="31"/>
      <c r="M29" s="31"/>
      <c r="N29" s="31" t="n">
        <f aca="false">SUM(N15:P28)</f>
        <v>255</v>
      </c>
      <c r="O29" s="31"/>
      <c r="P29" s="31"/>
      <c r="Q29" s="31" t="n">
        <f aca="false">SUM(Q15:S28)</f>
        <v>410</v>
      </c>
      <c r="R29" s="31"/>
      <c r="S29" s="31"/>
      <c r="T29" s="31" t="n">
        <f aca="false">SUM(T15:V28)</f>
        <v>45</v>
      </c>
      <c r="U29" s="31"/>
      <c r="V29" s="31"/>
      <c r="W29" s="31" t="n">
        <f aca="false">SUM(W15:Y28)</f>
        <v>745</v>
      </c>
      <c r="X29" s="31"/>
      <c r="Y29" s="31"/>
      <c r="Z29" s="31" t="n">
        <f aca="false">SUM(Z15:AB28)</f>
        <v>163</v>
      </c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</row>
    <row r="30" customFormat="false" ht="18.75" hidden="false" customHeight="true" outlineLevel="0" collapsed="false">
      <c r="A30" s="33" t="s">
        <v>69</v>
      </c>
      <c r="B30" s="33"/>
      <c r="C30" s="33"/>
      <c r="D30" s="33"/>
      <c r="E30" s="33"/>
      <c r="F30" s="33"/>
      <c r="G30" s="33"/>
      <c r="H30" s="34" t="n">
        <v>18.009</v>
      </c>
      <c r="I30" s="34"/>
      <c r="J30" s="34"/>
      <c r="K30" s="34" t="n">
        <v>2.097</v>
      </c>
      <c r="L30" s="34"/>
      <c r="M30" s="34"/>
      <c r="N30" s="34" t="n">
        <v>3.006</v>
      </c>
      <c r="O30" s="34"/>
      <c r="P30" s="34"/>
      <c r="Q30" s="34" t="n">
        <v>4.806</v>
      </c>
      <c r="R30" s="34"/>
      <c r="S30" s="34"/>
      <c r="T30" s="34" t="n">
        <v>6.003</v>
      </c>
      <c r="U30" s="34"/>
      <c r="V30" s="34"/>
      <c r="W30" s="34" t="n">
        <v>2.403</v>
      </c>
      <c r="X30" s="34"/>
      <c r="Y30" s="34"/>
      <c r="Z30" s="34" t="n">
        <v>4.81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  <c r="AL30" s="34"/>
      <c r="AM30" s="34"/>
      <c r="AN30" s="34"/>
      <c r="AO30" s="34"/>
      <c r="AP30" s="34"/>
      <c r="AQ30" s="34"/>
      <c r="AR30" s="34"/>
      <c r="AS30" s="34"/>
      <c r="AT30" s="34"/>
      <c r="AU30" s="34"/>
      <c r="AV30" s="34"/>
      <c r="AW30" s="34"/>
      <c r="AX30" s="34"/>
      <c r="AY30" s="34"/>
      <c r="AZ30" s="34"/>
    </row>
    <row r="31" customFormat="false" ht="18.75" hidden="false" customHeight="true" outlineLevel="0" collapsed="false">
      <c r="A31" s="35" t="s">
        <v>70</v>
      </c>
      <c r="B31" s="35"/>
      <c r="C31" s="35"/>
      <c r="D31" s="35"/>
      <c r="E31" s="35"/>
      <c r="F31" s="35"/>
      <c r="G31" s="35"/>
      <c r="H31" s="36" t="n">
        <f aca="false">H29*H30</f>
        <v>1332.666</v>
      </c>
      <c r="I31" s="36"/>
      <c r="J31" s="36"/>
      <c r="K31" s="36" t="n">
        <f aca="false">K29*K30</f>
        <v>964.62</v>
      </c>
      <c r="L31" s="36"/>
      <c r="M31" s="36"/>
      <c r="N31" s="36" t="n">
        <f aca="false">N29*N30</f>
        <v>766.53</v>
      </c>
      <c r="O31" s="36"/>
      <c r="P31" s="36"/>
      <c r="Q31" s="36" t="n">
        <f aca="false">Q29*Q30</f>
        <v>1970.46</v>
      </c>
      <c r="R31" s="36"/>
      <c r="S31" s="36"/>
      <c r="T31" s="36" t="n">
        <f aca="false">T29*T30</f>
        <v>270.135</v>
      </c>
      <c r="U31" s="36"/>
      <c r="V31" s="36"/>
      <c r="W31" s="36" t="n">
        <f aca="false">W29*W30</f>
        <v>1790.235</v>
      </c>
      <c r="X31" s="36"/>
      <c r="Y31" s="36"/>
      <c r="Z31" s="36" t="n">
        <f aca="false">Z29*Z30</f>
        <v>784.03</v>
      </c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</row>
    <row r="32" customFormat="false" ht="13.5" hidden="false" customHeight="true" outlineLevel="0" collapsed="false">
      <c r="A32" s="37" t="s">
        <v>71</v>
      </c>
      <c r="B32" s="38"/>
      <c r="C32" s="38"/>
      <c r="D32" s="38"/>
      <c r="E32" s="38"/>
      <c r="F32" s="38"/>
      <c r="G32" s="38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40" t="n">
        <f aca="false">SUM(H31:AZ31)</f>
        <v>7878.676</v>
      </c>
      <c r="AW32" s="40"/>
      <c r="AX32" s="40"/>
      <c r="AY32" s="40"/>
      <c r="AZ32" s="40"/>
    </row>
    <row r="33" customFormat="false" ht="13.5" hidden="false" customHeight="true" outlineLevel="0" collapsed="false">
      <c r="A33" s="2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3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40"/>
      <c r="AW33" s="40"/>
      <c r="AX33" s="40"/>
      <c r="AY33" s="40"/>
      <c r="AZ33" s="40"/>
    </row>
    <row r="34" customFormat="false" ht="13.5" hidden="false" customHeight="true" outlineLevel="0" collapsed="false">
      <c r="A34" s="44"/>
      <c r="B34" s="45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6" t="s">
        <v>73</v>
      </c>
      <c r="AE34" s="2"/>
      <c r="AF34" s="2"/>
      <c r="AH34" s="43"/>
      <c r="AI34" s="2"/>
      <c r="AJ34" s="2"/>
      <c r="AK34" s="44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6" t="s">
        <v>75</v>
      </c>
      <c r="B36" s="41"/>
      <c r="C36" s="41"/>
      <c r="D36" s="41"/>
      <c r="E36" s="41"/>
      <c r="F36" s="41"/>
      <c r="G36" s="41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3"/>
      <c r="AG36" s="43"/>
      <c r="AH36" s="43"/>
      <c r="AI36" s="2"/>
      <c r="AJ36" s="2"/>
      <c r="AK36" s="44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7" t="s">
        <v>79</v>
      </c>
      <c r="AV36" s="17"/>
      <c r="AW36" s="17"/>
      <c r="AX36" s="17"/>
      <c r="AY36" s="17"/>
      <c r="AZ36" s="17"/>
    </row>
    <row r="37" customFormat="false" ht="13.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48" t="s">
        <v>80</v>
      </c>
      <c r="L37" s="49"/>
      <c r="M37" s="49"/>
      <c r="N37" s="49"/>
      <c r="O37" s="49"/>
      <c r="P37" s="49"/>
      <c r="Q37" s="49"/>
      <c r="R37" s="49"/>
      <c r="S37" s="49"/>
      <c r="T37" s="49"/>
      <c r="U37" s="48" t="s">
        <v>81</v>
      </c>
      <c r="V37" s="49"/>
      <c r="W37" s="49"/>
      <c r="X37" s="49"/>
      <c r="Y37" s="49"/>
      <c r="Z37" s="49"/>
      <c r="AA37" s="49"/>
      <c r="AB37" s="49"/>
      <c r="AC37" s="49"/>
      <c r="AD37" s="2"/>
      <c r="AE37" s="2"/>
      <c r="AF37" s="43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8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1"/>
      <c r="B39" s="41"/>
      <c r="C39" s="41"/>
      <c r="D39" s="41"/>
      <c r="E39" s="41"/>
      <c r="F39" s="41"/>
      <c r="G39" s="41"/>
      <c r="H39" s="2"/>
      <c r="I39" s="2"/>
      <c r="J39" s="2"/>
      <c r="K39" s="2"/>
      <c r="L39" s="2"/>
      <c r="M39" s="2"/>
      <c r="N39" s="2"/>
      <c r="O39" s="2"/>
      <c r="P39" s="2"/>
      <c r="Q39" s="42"/>
      <c r="R39" s="42"/>
      <c r="S39" s="4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3"/>
      <c r="AG39" s="43"/>
      <c r="AH39" s="43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1"/>
      <c r="B40" s="41"/>
      <c r="C40" s="41"/>
      <c r="D40" s="41"/>
      <c r="E40" s="41"/>
      <c r="F40" s="41"/>
      <c r="G40" s="41"/>
      <c r="H40" s="2"/>
      <c r="I40" s="2"/>
      <c r="J40" s="2"/>
      <c r="K40" s="2"/>
      <c r="L40" s="2"/>
      <c r="M40" s="2"/>
      <c r="N40" s="2"/>
      <c r="O40" s="2"/>
      <c r="P40" s="2"/>
      <c r="Q40" s="42"/>
      <c r="R40" s="42"/>
      <c r="S40" s="4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3"/>
      <c r="AG40" s="43"/>
      <c r="AH40" s="4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1"/>
      <c r="B41" s="41"/>
      <c r="C41" s="41"/>
      <c r="D41" s="41"/>
      <c r="E41" s="41"/>
      <c r="F41" s="41"/>
      <c r="G41" s="41"/>
      <c r="H41" s="2"/>
      <c r="I41" s="2"/>
      <c r="J41" s="2"/>
      <c r="K41" s="2"/>
      <c r="L41" s="2"/>
      <c r="M41" s="2"/>
      <c r="N41" s="2"/>
      <c r="O41" s="2"/>
      <c r="P41" s="2"/>
      <c r="Q41" s="42"/>
      <c r="R41" s="42"/>
      <c r="S41" s="4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3"/>
      <c r="AG41" s="43"/>
      <c r="AH41" s="4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1"/>
      <c r="B42" s="41"/>
      <c r="C42" s="41"/>
      <c r="D42" s="41"/>
      <c r="E42" s="41"/>
      <c r="F42" s="41"/>
      <c r="G42" s="41"/>
      <c r="H42" s="2"/>
      <c r="I42" s="2"/>
      <c r="J42" s="2"/>
      <c r="K42" s="2"/>
      <c r="L42" s="2"/>
      <c r="M42" s="2"/>
      <c r="N42" s="2"/>
      <c r="O42" s="2"/>
      <c r="P42" s="2"/>
      <c r="Q42" s="42"/>
      <c r="R42" s="42"/>
      <c r="S42" s="4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3"/>
      <c r="AG42" s="43"/>
      <c r="AH42" s="4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1"/>
      <c r="B43" s="41"/>
      <c r="C43" s="41"/>
      <c r="D43" s="41"/>
      <c r="E43" s="41"/>
      <c r="F43" s="41"/>
      <c r="G43" s="41"/>
      <c r="H43" s="2"/>
      <c r="I43" s="2"/>
      <c r="J43" s="2"/>
      <c r="K43" s="2"/>
      <c r="L43" s="2"/>
      <c r="M43" s="2"/>
      <c r="N43" s="2"/>
      <c r="O43" s="2"/>
      <c r="P43" s="2"/>
      <c r="Q43" s="42"/>
      <c r="R43" s="42"/>
      <c r="S43" s="4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3"/>
      <c r="AG43" s="43"/>
      <c r="AH43" s="43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1"/>
      <c r="B44" s="41"/>
      <c r="C44" s="41"/>
      <c r="D44" s="41"/>
      <c r="E44" s="41"/>
      <c r="F44" s="41"/>
      <c r="G44" s="41"/>
      <c r="H44" s="2"/>
      <c r="I44" s="2"/>
      <c r="J44" s="2"/>
      <c r="K44" s="2"/>
      <c r="L44" s="2"/>
      <c r="M44" s="2"/>
      <c r="N44" s="2"/>
      <c r="O44" s="2"/>
      <c r="P44" s="2"/>
      <c r="Q44" s="42"/>
      <c r="R44" s="42"/>
      <c r="S44" s="4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3"/>
      <c r="AG44" s="43"/>
      <c r="AH44" s="4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1"/>
      <c r="B45" s="41"/>
      <c r="C45" s="41"/>
      <c r="D45" s="41"/>
      <c r="E45" s="41"/>
      <c r="F45" s="41"/>
      <c r="G45" s="41"/>
      <c r="H45" s="2"/>
      <c r="I45" s="2"/>
      <c r="J45" s="2"/>
      <c r="K45" s="2"/>
      <c r="L45" s="2"/>
      <c r="M45" s="2"/>
      <c r="N45" s="2"/>
      <c r="O45" s="2"/>
      <c r="P45" s="2"/>
      <c r="Q45" s="42"/>
      <c r="R45" s="42"/>
      <c r="S45" s="4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3"/>
      <c r="AG45" s="43"/>
      <c r="AH45" s="4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6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121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4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123</v>
      </c>
      <c r="I9" s="21"/>
      <c r="J9" s="21"/>
      <c r="K9" s="21" t="s">
        <v>123</v>
      </c>
      <c r="L9" s="21"/>
      <c r="M9" s="21"/>
      <c r="N9" s="21" t="s">
        <v>123</v>
      </c>
      <c r="O9" s="21"/>
      <c r="P9" s="21"/>
      <c r="Q9" s="21" t="s">
        <v>124</v>
      </c>
      <c r="R9" s="21"/>
      <c r="S9" s="21"/>
      <c r="T9" s="21" t="s">
        <v>125</v>
      </c>
      <c r="U9" s="21"/>
      <c r="V9" s="21"/>
      <c r="W9" s="21" t="s">
        <v>126</v>
      </c>
      <c r="X9" s="21"/>
      <c r="Y9" s="21"/>
      <c r="Z9" s="21" t="s">
        <v>126</v>
      </c>
      <c r="AA9" s="21"/>
      <c r="AB9" s="21"/>
      <c r="AC9" s="21" t="s">
        <v>126</v>
      </c>
      <c r="AD9" s="21"/>
      <c r="AE9" s="21"/>
      <c r="AF9" s="21" t="s">
        <v>126</v>
      </c>
      <c r="AG9" s="21"/>
      <c r="AH9" s="21"/>
      <c r="AI9" s="21" t="s">
        <v>126</v>
      </c>
      <c r="AJ9" s="21"/>
      <c r="AK9" s="21"/>
      <c r="AL9" s="21" t="s">
        <v>127</v>
      </c>
      <c r="AM9" s="21"/>
      <c r="AN9" s="21"/>
      <c r="AO9" s="21" t="s">
        <v>127</v>
      </c>
      <c r="AP9" s="21"/>
      <c r="AQ9" s="21"/>
      <c r="AR9" s="21" t="s">
        <v>128</v>
      </c>
      <c r="AS9" s="21"/>
      <c r="AT9" s="21"/>
      <c r="AU9" s="21" t="s">
        <v>129</v>
      </c>
      <c r="AV9" s="21"/>
      <c r="AW9" s="21"/>
      <c r="AX9" s="21" t="s">
        <v>130</v>
      </c>
      <c r="AY9" s="21"/>
      <c r="AZ9" s="2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29</v>
      </c>
      <c r="I10" s="25"/>
      <c r="J10" s="25"/>
      <c r="K10" s="25" t="s">
        <v>30</v>
      </c>
      <c r="L10" s="25"/>
      <c r="M10" s="25"/>
      <c r="N10" s="25" t="s">
        <v>31</v>
      </c>
      <c r="O10" s="25"/>
      <c r="P10" s="25"/>
      <c r="Q10" s="25" t="s">
        <v>32</v>
      </c>
      <c r="R10" s="25"/>
      <c r="S10" s="25"/>
      <c r="T10" s="25" t="s">
        <v>29</v>
      </c>
      <c r="U10" s="25"/>
      <c r="V10" s="25"/>
      <c r="W10" s="25" t="s">
        <v>29</v>
      </c>
      <c r="X10" s="25"/>
      <c r="Y10" s="25"/>
      <c r="Z10" s="25" t="s">
        <v>131</v>
      </c>
      <c r="AA10" s="25"/>
      <c r="AB10" s="25"/>
      <c r="AC10" s="25" t="s">
        <v>34</v>
      </c>
      <c r="AD10" s="25"/>
      <c r="AE10" s="25"/>
      <c r="AF10" s="25" t="s">
        <v>36</v>
      </c>
      <c r="AG10" s="25"/>
      <c r="AH10" s="25"/>
      <c r="AI10" s="25" t="s">
        <v>37</v>
      </c>
      <c r="AJ10" s="25"/>
      <c r="AK10" s="25"/>
      <c r="AL10" s="25" t="s">
        <v>29</v>
      </c>
      <c r="AM10" s="25"/>
      <c r="AN10" s="25"/>
      <c r="AO10" s="25" t="s">
        <v>32</v>
      </c>
      <c r="AP10" s="25"/>
      <c r="AQ10" s="25"/>
      <c r="AR10" s="25" t="s">
        <v>29</v>
      </c>
      <c r="AS10" s="25"/>
      <c r="AT10" s="25"/>
      <c r="AU10" s="25" t="s">
        <v>30</v>
      </c>
      <c r="AV10" s="25"/>
      <c r="AW10" s="25"/>
      <c r="AX10" s="25" t="s">
        <v>30</v>
      </c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39</v>
      </c>
      <c r="I11" s="27"/>
      <c r="J11" s="27"/>
      <c r="K11" s="27" t="s">
        <v>40</v>
      </c>
      <c r="L11" s="27"/>
      <c r="M11" s="27"/>
      <c r="N11" s="27" t="s">
        <v>41</v>
      </c>
      <c r="O11" s="27"/>
      <c r="P11" s="27"/>
      <c r="Q11" s="27" t="s">
        <v>42</v>
      </c>
      <c r="R11" s="27"/>
      <c r="S11" s="27"/>
      <c r="T11" s="27" t="s">
        <v>43</v>
      </c>
      <c r="U11" s="27"/>
      <c r="V11" s="27"/>
      <c r="W11" s="27" t="s">
        <v>44</v>
      </c>
      <c r="X11" s="27"/>
      <c r="Y11" s="27"/>
      <c r="Z11" s="27" t="s">
        <v>132</v>
      </c>
      <c r="AA11" s="27"/>
      <c r="AB11" s="27"/>
      <c r="AC11" s="27" t="s">
        <v>48</v>
      </c>
      <c r="AD11" s="27"/>
      <c r="AE11" s="27"/>
      <c r="AF11" s="27" t="s">
        <v>50</v>
      </c>
      <c r="AG11" s="27"/>
      <c r="AH11" s="27"/>
      <c r="AI11" s="27" t="s">
        <v>51</v>
      </c>
      <c r="AJ11" s="27"/>
      <c r="AK11" s="27"/>
      <c r="AL11" s="27" t="s">
        <v>52</v>
      </c>
      <c r="AM11" s="27"/>
      <c r="AN11" s="27"/>
      <c r="AO11" s="27" t="s">
        <v>53</v>
      </c>
      <c r="AP11" s="27"/>
      <c r="AQ11" s="27"/>
      <c r="AR11" s="27" t="s">
        <v>133</v>
      </c>
      <c r="AS11" s="27"/>
      <c r="AT11" s="27"/>
      <c r="AU11" s="27" t="s">
        <v>94</v>
      </c>
      <c r="AV11" s="27"/>
      <c r="AW11" s="27"/>
      <c r="AX11" s="27" t="s">
        <v>95</v>
      </c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21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350</v>
      </c>
      <c r="I15" s="29"/>
      <c r="J15" s="29"/>
      <c r="K15" s="29" t="n">
        <v>10</v>
      </c>
      <c r="L15" s="29"/>
      <c r="M15" s="29"/>
      <c r="N15" s="29" t="n">
        <v>25</v>
      </c>
      <c r="O15" s="29"/>
      <c r="P15" s="29"/>
      <c r="Q15" s="29" t="n">
        <v>20</v>
      </c>
      <c r="R15" s="29"/>
      <c r="S15" s="29"/>
      <c r="T15" s="29" t="n">
        <v>10</v>
      </c>
      <c r="U15" s="29"/>
      <c r="V15" s="29"/>
      <c r="W15" s="29" t="n">
        <v>2</v>
      </c>
      <c r="X15" s="29"/>
      <c r="Y15" s="29"/>
      <c r="Z15" s="29"/>
      <c r="AA15" s="29"/>
      <c r="AB15" s="29"/>
      <c r="AC15" s="29" t="n">
        <v>2</v>
      </c>
      <c r="AD15" s="29"/>
      <c r="AE15" s="29"/>
      <c r="AF15" s="29" t="n">
        <v>47</v>
      </c>
      <c r="AG15" s="29"/>
      <c r="AH15" s="29"/>
      <c r="AI15" s="29" t="n">
        <v>3</v>
      </c>
      <c r="AJ15" s="29"/>
      <c r="AK15" s="29"/>
      <c r="AL15" s="29" t="n">
        <v>6</v>
      </c>
      <c r="AM15" s="29"/>
      <c r="AN15" s="29"/>
      <c r="AO15" s="29" t="n">
        <v>8</v>
      </c>
      <c r="AP15" s="29"/>
      <c r="AQ15" s="29"/>
      <c r="AR15" s="29"/>
      <c r="AS15" s="29"/>
      <c r="AT15" s="29"/>
      <c r="AU15" s="29" t="n">
        <v>2</v>
      </c>
      <c r="AV15" s="29"/>
      <c r="AW15" s="29"/>
      <c r="AX15" s="29" t="n">
        <v>1</v>
      </c>
      <c r="AY15" s="29"/>
      <c r="AZ15" s="29"/>
    </row>
    <row r="16" customFormat="false" ht="21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285</v>
      </c>
      <c r="I16" s="31"/>
      <c r="J16" s="31"/>
      <c r="K16" s="31" t="n">
        <v>30</v>
      </c>
      <c r="L16" s="31"/>
      <c r="M16" s="31"/>
      <c r="N16" s="31" t="n">
        <v>98</v>
      </c>
      <c r="O16" s="31"/>
      <c r="P16" s="31"/>
      <c r="Q16" s="31" t="n">
        <v>20</v>
      </c>
      <c r="R16" s="31"/>
      <c r="S16" s="31"/>
      <c r="T16" s="31" t="n">
        <v>8</v>
      </c>
      <c r="U16" s="31"/>
      <c r="V16" s="31"/>
      <c r="W16" s="31" t="n">
        <v>2</v>
      </c>
      <c r="X16" s="31"/>
      <c r="Y16" s="31"/>
      <c r="Z16" s="31"/>
      <c r="AA16" s="31"/>
      <c r="AB16" s="31"/>
      <c r="AC16" s="31" t="n">
        <v>2</v>
      </c>
      <c r="AD16" s="31"/>
      <c r="AE16" s="31"/>
      <c r="AF16" s="31" t="n">
        <v>72</v>
      </c>
      <c r="AG16" s="31"/>
      <c r="AH16" s="31"/>
      <c r="AI16" s="31" t="n">
        <v>7</v>
      </c>
      <c r="AJ16" s="31"/>
      <c r="AK16" s="31"/>
      <c r="AL16" s="31" t="n">
        <v>3</v>
      </c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 t="n">
        <v>1</v>
      </c>
      <c r="AY16" s="31"/>
      <c r="AZ16" s="31"/>
    </row>
    <row r="17" customFormat="false" ht="21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330</v>
      </c>
      <c r="I17" s="31"/>
      <c r="J17" s="31"/>
      <c r="K17" s="31"/>
      <c r="L17" s="31"/>
      <c r="M17" s="31"/>
      <c r="N17" s="31" t="n">
        <v>70</v>
      </c>
      <c r="O17" s="31"/>
      <c r="P17" s="31"/>
      <c r="Q17" s="31" t="n">
        <v>32</v>
      </c>
      <c r="R17" s="31"/>
      <c r="S17" s="31"/>
      <c r="T17" s="31" t="n">
        <v>14</v>
      </c>
      <c r="U17" s="31"/>
      <c r="V17" s="31"/>
      <c r="W17" s="31" t="n">
        <v>3</v>
      </c>
      <c r="X17" s="31"/>
      <c r="Y17" s="31"/>
      <c r="Z17" s="31" t="n">
        <v>1</v>
      </c>
      <c r="AA17" s="31"/>
      <c r="AB17" s="31"/>
      <c r="AC17" s="31" t="n">
        <v>2</v>
      </c>
      <c r="AD17" s="31"/>
      <c r="AE17" s="31"/>
      <c r="AF17" s="31" t="n">
        <v>28</v>
      </c>
      <c r="AG17" s="31"/>
      <c r="AH17" s="31"/>
      <c r="AI17" s="31" t="n">
        <v>2</v>
      </c>
      <c r="AJ17" s="31"/>
      <c r="AK17" s="31"/>
      <c r="AL17" s="31" t="n">
        <v>20</v>
      </c>
      <c r="AM17" s="31"/>
      <c r="AN17" s="31"/>
      <c r="AO17" s="31"/>
      <c r="AP17" s="31"/>
      <c r="AQ17" s="31"/>
      <c r="AR17" s="31"/>
      <c r="AS17" s="31"/>
      <c r="AT17" s="31"/>
      <c r="AU17" s="31" t="n">
        <v>2</v>
      </c>
      <c r="AV17" s="31"/>
      <c r="AW17" s="31"/>
      <c r="AX17" s="31" t="n">
        <v>1</v>
      </c>
      <c r="AY17" s="31"/>
      <c r="AZ17" s="31"/>
    </row>
    <row r="18" customFormat="false" ht="21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550</v>
      </c>
      <c r="I18" s="31"/>
      <c r="J18" s="31"/>
      <c r="K18" s="31" t="n">
        <v>25</v>
      </c>
      <c r="L18" s="31"/>
      <c r="M18" s="31"/>
      <c r="N18" s="31" t="n">
        <v>38</v>
      </c>
      <c r="O18" s="31"/>
      <c r="P18" s="31"/>
      <c r="Q18" s="31" t="n">
        <v>8</v>
      </c>
      <c r="R18" s="31"/>
      <c r="S18" s="31"/>
      <c r="T18" s="31" t="n">
        <v>34</v>
      </c>
      <c r="U18" s="31"/>
      <c r="V18" s="31"/>
      <c r="W18" s="31" t="n">
        <v>2</v>
      </c>
      <c r="X18" s="31"/>
      <c r="Y18" s="31"/>
      <c r="Z18" s="31"/>
      <c r="AA18" s="31"/>
      <c r="AB18" s="31"/>
      <c r="AC18" s="31" t="n">
        <v>2</v>
      </c>
      <c r="AD18" s="31"/>
      <c r="AE18" s="31"/>
      <c r="AF18" s="31" t="n">
        <v>15</v>
      </c>
      <c r="AG18" s="31"/>
      <c r="AH18" s="31"/>
      <c r="AI18" s="31"/>
      <c r="AJ18" s="31"/>
      <c r="AK18" s="31"/>
      <c r="AL18" s="31" t="n">
        <v>130</v>
      </c>
      <c r="AM18" s="31"/>
      <c r="AN18" s="31"/>
      <c r="AO18" s="31" t="n">
        <v>29</v>
      </c>
      <c r="AP18" s="31"/>
      <c r="AQ18" s="31"/>
      <c r="AR18" s="31" t="n">
        <v>30</v>
      </c>
      <c r="AS18" s="31"/>
      <c r="AT18" s="31"/>
      <c r="AU18" s="31" t="n">
        <v>3</v>
      </c>
      <c r="AV18" s="31"/>
      <c r="AW18" s="31"/>
      <c r="AX18" s="31" t="n">
        <v>1</v>
      </c>
      <c r="AY18" s="31"/>
      <c r="AZ18" s="31"/>
    </row>
    <row r="19" customFormat="false" ht="21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 t="n">
        <v>420</v>
      </c>
      <c r="I19" s="31"/>
      <c r="J19" s="31"/>
      <c r="K19" s="31" t="n">
        <v>36</v>
      </c>
      <c r="L19" s="31"/>
      <c r="M19" s="31"/>
      <c r="N19" s="31"/>
      <c r="O19" s="31"/>
      <c r="P19" s="31"/>
      <c r="Q19" s="31"/>
      <c r="R19" s="31"/>
      <c r="S19" s="31"/>
      <c r="T19" s="31" t="n">
        <v>26</v>
      </c>
      <c r="U19" s="31"/>
      <c r="V19" s="31"/>
      <c r="W19" s="31" t="n">
        <v>2</v>
      </c>
      <c r="X19" s="31"/>
      <c r="Y19" s="31"/>
      <c r="Z19" s="31" t="n">
        <v>1</v>
      </c>
      <c r="AA19" s="31"/>
      <c r="AB19" s="31"/>
      <c r="AC19" s="31" t="n">
        <v>2</v>
      </c>
      <c r="AD19" s="31"/>
      <c r="AE19" s="31"/>
      <c r="AF19" s="31" t="n">
        <v>12</v>
      </c>
      <c r="AG19" s="31"/>
      <c r="AH19" s="31"/>
      <c r="AI19" s="31"/>
      <c r="AJ19" s="31"/>
      <c r="AK19" s="31"/>
      <c r="AL19" s="31" t="n">
        <v>45</v>
      </c>
      <c r="AM19" s="31"/>
      <c r="AN19" s="31"/>
      <c r="AO19" s="31" t="n">
        <v>24</v>
      </c>
      <c r="AP19" s="31"/>
      <c r="AQ19" s="31"/>
      <c r="AR19" s="31"/>
      <c r="AS19" s="31"/>
      <c r="AT19" s="31"/>
      <c r="AU19" s="31" t="n">
        <v>6</v>
      </c>
      <c r="AV19" s="31"/>
      <c r="AW19" s="31"/>
      <c r="AX19" s="31" t="n">
        <v>1</v>
      </c>
      <c r="AY19" s="31"/>
      <c r="AZ19" s="31"/>
    </row>
    <row r="20" customFormat="false" ht="21" hidden="false" customHeight="true" outlineLevel="0" collapsed="false">
      <c r="A20" s="30"/>
      <c r="B20" s="30"/>
      <c r="C20" s="30"/>
      <c r="D20" s="30"/>
      <c r="E20" s="30"/>
      <c r="F20" s="30"/>
      <c r="G20" s="3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21" hidden="false" customHeight="true" outlineLevel="0" collapsed="false">
      <c r="A21" s="30"/>
      <c r="B21" s="30"/>
      <c r="C21" s="30"/>
      <c r="D21" s="30"/>
      <c r="E21" s="30"/>
      <c r="F21" s="30"/>
      <c r="G21" s="3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8.75" hidden="false" customHeight="true" outlineLevel="0" collapsed="false">
      <c r="A22" s="32" t="s">
        <v>68</v>
      </c>
      <c r="B22" s="32"/>
      <c r="C22" s="32"/>
      <c r="D22" s="32"/>
      <c r="E22" s="32"/>
      <c r="F22" s="32"/>
      <c r="G22" s="32"/>
      <c r="H22" s="31" t="n">
        <f aca="false">SUM(H15:J21)</f>
        <v>1935</v>
      </c>
      <c r="I22" s="31"/>
      <c r="J22" s="31"/>
      <c r="K22" s="31" t="n">
        <f aca="false">SUM(K15:M21)</f>
        <v>101</v>
      </c>
      <c r="L22" s="31"/>
      <c r="M22" s="31"/>
      <c r="N22" s="31" t="n">
        <f aca="false">SUM(N15:P21)</f>
        <v>231</v>
      </c>
      <c r="O22" s="31"/>
      <c r="P22" s="31"/>
      <c r="Q22" s="31" t="n">
        <f aca="false">SUM(Q15:S21)</f>
        <v>80</v>
      </c>
      <c r="R22" s="31"/>
      <c r="S22" s="31"/>
      <c r="T22" s="31" t="n">
        <f aca="false">SUM(T15:V21)</f>
        <v>92</v>
      </c>
      <c r="U22" s="31"/>
      <c r="V22" s="31"/>
      <c r="W22" s="31" t="n">
        <f aca="false">SUM(W15:Y21)</f>
        <v>11</v>
      </c>
      <c r="X22" s="31"/>
      <c r="Y22" s="31"/>
      <c r="Z22" s="31" t="n">
        <f aca="false">SUM(Z15:AB21)</f>
        <v>2</v>
      </c>
      <c r="AA22" s="31"/>
      <c r="AB22" s="31"/>
      <c r="AC22" s="31" t="n">
        <f aca="false">SUM(AC15:AE21)</f>
        <v>10</v>
      </c>
      <c r="AD22" s="31"/>
      <c r="AE22" s="31"/>
      <c r="AF22" s="31" t="n">
        <f aca="false">SUM(AF15:AH21)</f>
        <v>174</v>
      </c>
      <c r="AG22" s="31"/>
      <c r="AH22" s="31"/>
      <c r="AI22" s="31" t="n">
        <f aca="false">SUM(AI15:AK21)</f>
        <v>12</v>
      </c>
      <c r="AJ22" s="31"/>
      <c r="AK22" s="31"/>
      <c r="AL22" s="31" t="n">
        <f aca="false">SUM(AL15:AN21)</f>
        <v>204</v>
      </c>
      <c r="AM22" s="31"/>
      <c r="AN22" s="31"/>
      <c r="AO22" s="31" t="n">
        <f aca="false">SUM(AO15:AQ21)</f>
        <v>61</v>
      </c>
      <c r="AP22" s="31"/>
      <c r="AQ22" s="31"/>
      <c r="AR22" s="31" t="n">
        <f aca="false">SUM(AR15:AT21)</f>
        <v>30</v>
      </c>
      <c r="AS22" s="31"/>
      <c r="AT22" s="31"/>
      <c r="AU22" s="31" t="n">
        <f aca="false">SUM(AU15:AW21)</f>
        <v>13</v>
      </c>
      <c r="AV22" s="31"/>
      <c r="AW22" s="31"/>
      <c r="AX22" s="31" t="n">
        <f aca="false">SUM(AX15:AZ21)</f>
        <v>5</v>
      </c>
      <c r="AY22" s="31"/>
      <c r="AZ22" s="31"/>
    </row>
    <row r="23" customFormat="false" ht="18.75" hidden="false" customHeight="true" outlineLevel="0" collapsed="false">
      <c r="A23" s="33" t="s">
        <v>69</v>
      </c>
      <c r="B23" s="33"/>
      <c r="C23" s="33"/>
      <c r="D23" s="33"/>
      <c r="E23" s="33"/>
      <c r="F23" s="33"/>
      <c r="G23" s="33"/>
      <c r="H23" s="34" t="n">
        <v>1.773</v>
      </c>
      <c r="I23" s="34"/>
      <c r="J23" s="34"/>
      <c r="K23" s="34" t="n">
        <v>1.773</v>
      </c>
      <c r="L23" s="34"/>
      <c r="M23" s="34"/>
      <c r="N23" s="34" t="n">
        <v>1.395</v>
      </c>
      <c r="O23" s="34"/>
      <c r="P23" s="34"/>
      <c r="Q23" s="34" t="n">
        <v>0.9</v>
      </c>
      <c r="R23" s="34"/>
      <c r="S23" s="34"/>
      <c r="T23" s="34" t="n">
        <v>12.006</v>
      </c>
      <c r="U23" s="34"/>
      <c r="V23" s="34"/>
      <c r="W23" s="34" t="n">
        <v>81.4663928571429</v>
      </c>
      <c r="X23" s="34"/>
      <c r="Y23" s="34"/>
      <c r="Z23" s="34" t="n">
        <v>34.0842857142857</v>
      </c>
      <c r="AA23" s="34"/>
      <c r="AB23" s="34"/>
      <c r="AC23" s="34" t="n">
        <v>22.4424642857143</v>
      </c>
      <c r="AD23" s="34"/>
      <c r="AE23" s="34"/>
      <c r="AF23" s="34" t="n">
        <v>0.166499999999999</v>
      </c>
      <c r="AG23" s="34"/>
      <c r="AH23" s="34"/>
      <c r="AI23" s="34" t="n">
        <v>18.0951428571429</v>
      </c>
      <c r="AJ23" s="34"/>
      <c r="AK23" s="34"/>
      <c r="AL23" s="34" t="n">
        <v>4.95</v>
      </c>
      <c r="AM23" s="34"/>
      <c r="AN23" s="34"/>
      <c r="AO23" s="34" t="n">
        <v>5.283</v>
      </c>
      <c r="AP23" s="34"/>
      <c r="AQ23" s="34"/>
      <c r="AR23" s="34" t="n">
        <v>4.203</v>
      </c>
      <c r="AS23" s="34"/>
      <c r="AT23" s="34"/>
      <c r="AU23" s="34" t="n">
        <v>7.2</v>
      </c>
      <c r="AV23" s="34"/>
      <c r="AW23" s="34"/>
      <c r="AX23" s="34" t="n">
        <v>164.484</v>
      </c>
      <c r="AY23" s="34"/>
      <c r="AZ23" s="34"/>
    </row>
    <row r="24" customFormat="false" ht="18.75" hidden="false" customHeight="true" outlineLevel="0" collapsed="false">
      <c r="A24" s="35" t="s">
        <v>70</v>
      </c>
      <c r="B24" s="35"/>
      <c r="C24" s="35"/>
      <c r="D24" s="35"/>
      <c r="E24" s="35"/>
      <c r="F24" s="35"/>
      <c r="G24" s="35"/>
      <c r="H24" s="36" t="n">
        <f aca="false">H22*H23</f>
        <v>3430.755</v>
      </c>
      <c r="I24" s="36"/>
      <c r="J24" s="36"/>
      <c r="K24" s="36" t="n">
        <f aca="false">K22*K23</f>
        <v>179.073</v>
      </c>
      <c r="L24" s="36"/>
      <c r="M24" s="36"/>
      <c r="N24" s="36" t="n">
        <f aca="false">N22*N23</f>
        <v>322.245</v>
      </c>
      <c r="O24" s="36"/>
      <c r="P24" s="36"/>
      <c r="Q24" s="36" t="n">
        <f aca="false">Q22*Q23</f>
        <v>72</v>
      </c>
      <c r="R24" s="36"/>
      <c r="S24" s="36"/>
      <c r="T24" s="36" t="n">
        <f aca="false">T22*T23</f>
        <v>1104.552</v>
      </c>
      <c r="U24" s="36"/>
      <c r="V24" s="36"/>
      <c r="W24" s="36" t="n">
        <f aca="false">W22*W23</f>
        <v>896.130321428571</v>
      </c>
      <c r="X24" s="36"/>
      <c r="Y24" s="36"/>
      <c r="Z24" s="36" t="n">
        <f aca="false">Z22*Z23</f>
        <v>68.1685714285714</v>
      </c>
      <c r="AA24" s="36"/>
      <c r="AB24" s="36"/>
      <c r="AC24" s="36" t="n">
        <f aca="false">AC22*AC23</f>
        <v>224.424642857143</v>
      </c>
      <c r="AD24" s="36"/>
      <c r="AE24" s="36"/>
      <c r="AF24" s="36" t="n">
        <f aca="false">AF22*AF23</f>
        <v>28.9709999999998</v>
      </c>
      <c r="AG24" s="36"/>
      <c r="AH24" s="36"/>
      <c r="AI24" s="36" t="n">
        <f aca="false">AI22*AI23</f>
        <v>217.141714285714</v>
      </c>
      <c r="AJ24" s="36"/>
      <c r="AK24" s="36"/>
      <c r="AL24" s="36" t="n">
        <f aca="false">AL22*AL23</f>
        <v>1009.8</v>
      </c>
      <c r="AM24" s="36"/>
      <c r="AN24" s="36"/>
      <c r="AO24" s="36" t="n">
        <f aca="false">AO22*AO23</f>
        <v>322.263</v>
      </c>
      <c r="AP24" s="36"/>
      <c r="AQ24" s="36"/>
      <c r="AR24" s="36" t="n">
        <f aca="false">AR22*AR23</f>
        <v>126.09</v>
      </c>
      <c r="AS24" s="36"/>
      <c r="AT24" s="36"/>
      <c r="AU24" s="36" t="n">
        <f aca="false">AU22*AU23</f>
        <v>93.6</v>
      </c>
      <c r="AV24" s="36"/>
      <c r="AW24" s="36"/>
      <c r="AX24" s="36" t="n">
        <f aca="false">AX22*AX23</f>
        <v>822.42</v>
      </c>
      <c r="AY24" s="36"/>
      <c r="AZ24" s="36"/>
    </row>
    <row r="25" customFormat="false" ht="15.75" hidden="false" customHeight="true" outlineLevel="0" collapsed="false">
      <c r="A25" s="37" t="s">
        <v>71</v>
      </c>
      <c r="B25" s="38"/>
      <c r="C25" s="38"/>
      <c r="D25" s="38"/>
      <c r="E25" s="38"/>
      <c r="F25" s="38"/>
      <c r="G25" s="38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40" t="n">
        <f aca="false">SUM(H24:AZ24)</f>
        <v>8917.63425</v>
      </c>
      <c r="AW25" s="40"/>
      <c r="AX25" s="40"/>
      <c r="AY25" s="40"/>
      <c r="AZ25" s="40"/>
    </row>
    <row r="26" customFormat="false" ht="15.75" hidden="false" customHeight="true" outlineLevel="0" collapsed="false">
      <c r="A26" s="2"/>
      <c r="B26" s="41"/>
      <c r="C26" s="41"/>
      <c r="D26" s="41"/>
      <c r="E26" s="41"/>
      <c r="F26" s="41"/>
      <c r="G26" s="41"/>
      <c r="H26" s="2"/>
      <c r="I26" s="2"/>
      <c r="J26" s="2"/>
      <c r="K26" s="2"/>
      <c r="L26" s="2"/>
      <c r="M26" s="2"/>
      <c r="N26" s="2"/>
      <c r="O26" s="2"/>
      <c r="P26" s="2"/>
      <c r="Q26" s="42"/>
      <c r="R26" s="42"/>
      <c r="S26" s="4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3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40"/>
      <c r="AW26" s="40"/>
      <c r="AX26" s="40"/>
      <c r="AY26" s="40"/>
      <c r="AZ26" s="40"/>
    </row>
    <row r="27" customFormat="false" ht="15.75" hidden="false" customHeight="true" outlineLevel="0" collapsed="false">
      <c r="A27" s="44"/>
      <c r="B27" s="45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6" t="s">
        <v>73</v>
      </c>
      <c r="AE27" s="2"/>
      <c r="AF27" s="2"/>
      <c r="AH27" s="43"/>
      <c r="AI27" s="2"/>
      <c r="AJ27" s="2"/>
      <c r="AK27" s="44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3"/>
      <c r="AH28" s="4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6" t="s">
        <v>75</v>
      </c>
      <c r="B29" s="41"/>
      <c r="C29" s="41"/>
      <c r="D29" s="41"/>
      <c r="E29" s="41"/>
      <c r="F29" s="41"/>
      <c r="G29" s="41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3"/>
      <c r="AG29" s="43"/>
      <c r="AH29" s="43"/>
      <c r="AI29" s="2"/>
      <c r="AJ29" s="2"/>
      <c r="AK29" s="44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7" t="s">
        <v>79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1"/>
      <c r="B30" s="41"/>
      <c r="C30" s="41"/>
      <c r="D30" s="41"/>
      <c r="E30" s="41"/>
      <c r="F30" s="41"/>
      <c r="G30" s="41"/>
      <c r="H30" s="2"/>
      <c r="I30" s="2"/>
      <c r="J30" s="2"/>
      <c r="K30" s="48" t="s">
        <v>80</v>
      </c>
      <c r="L30" s="49"/>
      <c r="M30" s="49"/>
      <c r="N30" s="49"/>
      <c r="O30" s="49"/>
      <c r="P30" s="49"/>
      <c r="Q30" s="49"/>
      <c r="R30" s="49"/>
      <c r="S30" s="49"/>
      <c r="T30" s="49"/>
      <c r="U30" s="48" t="s">
        <v>81</v>
      </c>
      <c r="V30" s="49"/>
      <c r="W30" s="49"/>
      <c r="X30" s="49"/>
      <c r="Y30" s="49"/>
      <c r="Z30" s="49"/>
      <c r="AA30" s="49"/>
      <c r="AB30" s="49"/>
      <c r="AC30" s="49"/>
      <c r="AD30" s="2"/>
      <c r="AE30" s="2"/>
      <c r="AF30" s="43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8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1"/>
      <c r="B31" s="41"/>
      <c r="C31" s="41"/>
      <c r="D31" s="41"/>
      <c r="E31" s="41"/>
      <c r="F31" s="41"/>
      <c r="G31" s="41"/>
      <c r="H31" s="2"/>
      <c r="I31" s="2"/>
      <c r="J31" s="2"/>
      <c r="K31" s="2"/>
      <c r="L31" s="2"/>
      <c r="M31" s="2"/>
      <c r="N31" s="2"/>
      <c r="O31" s="2"/>
      <c r="P31" s="2"/>
      <c r="Q31" s="42"/>
      <c r="R31" s="42"/>
      <c r="S31" s="4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3"/>
      <c r="AG31" s="43"/>
      <c r="AH31" s="43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1"/>
      <c r="B32" s="41"/>
      <c r="C32" s="41"/>
      <c r="D32" s="41"/>
      <c r="E32" s="41"/>
      <c r="F32" s="41"/>
      <c r="G32" s="41"/>
      <c r="H32" s="2"/>
      <c r="I32" s="2"/>
      <c r="J32" s="2"/>
      <c r="K32" s="2"/>
      <c r="L32" s="2"/>
      <c r="M32" s="2"/>
      <c r="N32" s="2"/>
      <c r="O32" s="2"/>
      <c r="P32" s="2"/>
      <c r="Q32" s="42"/>
      <c r="R32" s="42"/>
      <c r="S32" s="4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3"/>
      <c r="AG32" s="43"/>
      <c r="AH32" s="4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1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3"/>
      <c r="AG33" s="43"/>
      <c r="AH33" s="4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1"/>
      <c r="B34" s="41"/>
      <c r="C34" s="41"/>
      <c r="D34" s="41"/>
      <c r="E34" s="41"/>
      <c r="F34" s="41"/>
      <c r="G34" s="41"/>
      <c r="H34" s="2"/>
      <c r="I34" s="2"/>
      <c r="J34" s="2"/>
      <c r="K34" s="2"/>
      <c r="L34" s="2"/>
      <c r="M34" s="2"/>
      <c r="N34" s="2"/>
      <c r="O34" s="2"/>
      <c r="P34" s="2"/>
      <c r="Q34" s="42"/>
      <c r="R34" s="42"/>
      <c r="S34" s="4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3"/>
      <c r="AG34" s="43"/>
      <c r="AH34" s="43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1"/>
      <c r="B35" s="41"/>
      <c r="C35" s="41"/>
      <c r="D35" s="41"/>
      <c r="E35" s="41"/>
      <c r="F35" s="41"/>
      <c r="G35" s="41"/>
      <c r="H35" s="2"/>
      <c r="I35" s="2"/>
      <c r="J35" s="2"/>
      <c r="K35" s="2"/>
      <c r="L35" s="2"/>
      <c r="M35" s="2"/>
      <c r="N35" s="2"/>
      <c r="O35" s="2"/>
      <c r="P35" s="2"/>
      <c r="Q35" s="42"/>
      <c r="R35" s="42"/>
      <c r="S35" s="4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3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1"/>
      <c r="B36" s="41"/>
      <c r="C36" s="41"/>
      <c r="D36" s="41"/>
      <c r="E36" s="41"/>
      <c r="F36" s="41"/>
      <c r="G36" s="41"/>
      <c r="H36" s="2"/>
      <c r="I36" s="2"/>
      <c r="J36" s="2"/>
      <c r="K36" s="2"/>
      <c r="L36" s="2"/>
      <c r="M36" s="2"/>
      <c r="N36" s="2"/>
      <c r="O36" s="2"/>
      <c r="P36" s="2"/>
      <c r="Q36" s="42"/>
      <c r="R36" s="42"/>
      <c r="S36" s="4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3"/>
      <c r="AG36" s="43"/>
      <c r="AH36" s="4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2"/>
      <c r="L37" s="2"/>
      <c r="M37" s="2"/>
      <c r="N37" s="2"/>
      <c r="O37" s="2"/>
      <c r="P37" s="2"/>
      <c r="Q37" s="42"/>
      <c r="R37" s="42"/>
      <c r="S37" s="4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3"/>
      <c r="AG37" s="43"/>
      <c r="AH37" s="4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6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11" t="s">
        <v>121</v>
      </c>
      <c r="X3" s="11"/>
      <c r="Y3" s="11"/>
      <c r="Z3" s="11"/>
      <c r="AA3" s="11"/>
      <c r="AB3" s="11"/>
      <c r="AC3" s="11"/>
      <c r="AD3" s="11"/>
      <c r="AE3" s="11"/>
      <c r="AF3" s="2"/>
      <c r="AG3" s="2"/>
      <c r="AH3" s="12" t="s">
        <v>13</v>
      </c>
      <c r="AK3" s="6"/>
      <c r="AL3" s="12"/>
      <c r="AM3" s="12"/>
      <c r="AN3" s="12"/>
      <c r="AO3" s="12"/>
      <c r="AP3" s="12"/>
      <c r="AQ3" s="12"/>
      <c r="AR3" s="13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4" t="s">
        <v>16</v>
      </c>
      <c r="S4" s="2"/>
      <c r="T4" s="2"/>
      <c r="U4" s="2"/>
      <c r="V4" s="2"/>
      <c r="W4" s="15" t="s">
        <v>17</v>
      </c>
      <c r="X4" s="15"/>
      <c r="Y4" s="15"/>
      <c r="Z4" s="15"/>
      <c r="AA4" s="15"/>
      <c r="AB4" s="15"/>
      <c r="AC4" s="15"/>
      <c r="AD4" s="15"/>
      <c r="AE4" s="15"/>
      <c r="AF4" s="2"/>
      <c r="AG4" s="2"/>
      <c r="AH4" s="8" t="s">
        <v>18</v>
      </c>
      <c r="AK4" s="6"/>
      <c r="AL4" s="16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7"/>
      <c r="X6" s="17"/>
      <c r="Y6" s="17"/>
      <c r="Z6" s="17" t="n">
        <v>5</v>
      </c>
      <c r="AA6" s="17"/>
      <c r="AB6" s="17"/>
      <c r="AC6" s="17"/>
      <c r="AD6" s="17"/>
      <c r="AE6" s="17"/>
      <c r="AF6" s="2"/>
      <c r="AG6" s="2"/>
      <c r="AH6" s="18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9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9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20" t="s">
        <v>23</v>
      </c>
      <c r="B9" s="20"/>
      <c r="C9" s="20"/>
      <c r="D9" s="20"/>
      <c r="E9" s="20"/>
      <c r="F9" s="20"/>
      <c r="G9" s="20"/>
      <c r="H9" s="21" t="s">
        <v>134</v>
      </c>
      <c r="I9" s="21"/>
      <c r="J9" s="21"/>
      <c r="K9" s="21" t="s">
        <v>134</v>
      </c>
      <c r="L9" s="21"/>
      <c r="M9" s="21"/>
      <c r="N9" s="21" t="s">
        <v>134</v>
      </c>
      <c r="O9" s="21"/>
      <c r="P9" s="21"/>
      <c r="Q9" s="21" t="s">
        <v>134</v>
      </c>
      <c r="R9" s="21"/>
      <c r="S9" s="21"/>
      <c r="T9" s="21" t="s">
        <v>134</v>
      </c>
      <c r="U9" s="21"/>
      <c r="V9" s="21"/>
      <c r="W9" s="21" t="s">
        <v>134</v>
      </c>
      <c r="X9" s="21"/>
      <c r="Y9" s="21"/>
      <c r="Z9" s="21" t="s">
        <v>134</v>
      </c>
      <c r="AA9" s="21"/>
      <c r="AB9" s="21"/>
      <c r="AC9" s="21" t="s">
        <v>134</v>
      </c>
      <c r="AD9" s="21"/>
      <c r="AE9" s="21"/>
      <c r="AF9" s="21" t="s">
        <v>134</v>
      </c>
      <c r="AG9" s="21"/>
      <c r="AH9" s="21"/>
      <c r="AI9" s="21" t="s">
        <v>134</v>
      </c>
      <c r="AJ9" s="21"/>
      <c r="AK9" s="21"/>
      <c r="AL9" s="50"/>
      <c r="AM9" s="50"/>
      <c r="AN9" s="50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</row>
    <row r="10" customFormat="false" ht="15.75" hidden="false" customHeight="true" outlineLevel="0" collapsed="false">
      <c r="A10" s="22"/>
      <c r="B10" s="23"/>
      <c r="C10" s="23"/>
      <c r="D10" s="23"/>
      <c r="E10" s="23"/>
      <c r="F10" s="23"/>
      <c r="G10" s="24"/>
      <c r="H10" s="25" t="s">
        <v>31</v>
      </c>
      <c r="I10" s="25"/>
      <c r="J10" s="25"/>
      <c r="K10" s="25" t="s">
        <v>34</v>
      </c>
      <c r="L10" s="25"/>
      <c r="M10" s="25"/>
      <c r="N10" s="25" t="s">
        <v>35</v>
      </c>
      <c r="O10" s="25"/>
      <c r="P10" s="25"/>
      <c r="Q10" s="25" t="s">
        <v>88</v>
      </c>
      <c r="R10" s="25"/>
      <c r="S10" s="25"/>
      <c r="T10" s="25" t="s">
        <v>36</v>
      </c>
      <c r="U10" s="25"/>
      <c r="V10" s="25"/>
      <c r="W10" s="25" t="s">
        <v>89</v>
      </c>
      <c r="X10" s="25"/>
      <c r="Y10" s="25"/>
      <c r="Z10" s="25" t="s">
        <v>37</v>
      </c>
      <c r="AA10" s="25"/>
      <c r="AB10" s="25"/>
      <c r="AC10" s="25" t="s">
        <v>90</v>
      </c>
      <c r="AD10" s="25"/>
      <c r="AE10" s="25"/>
      <c r="AF10" s="25" t="s">
        <v>92</v>
      </c>
      <c r="AG10" s="25"/>
      <c r="AH10" s="25"/>
      <c r="AI10" s="25" t="s">
        <v>93</v>
      </c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</row>
    <row r="11" customFormat="false" ht="10.5" hidden="false" customHeight="true" outlineLevel="0" collapsed="false">
      <c r="A11" s="26" t="s">
        <v>38</v>
      </c>
      <c r="B11" s="26"/>
      <c r="C11" s="26"/>
      <c r="D11" s="26"/>
      <c r="E11" s="26"/>
      <c r="F11" s="26"/>
      <c r="G11" s="26"/>
      <c r="H11" s="27" t="s">
        <v>96</v>
      </c>
      <c r="I11" s="27"/>
      <c r="J11" s="27"/>
      <c r="K11" s="27" t="s">
        <v>97</v>
      </c>
      <c r="L11" s="27"/>
      <c r="M11" s="27"/>
      <c r="N11" s="27" t="s">
        <v>98</v>
      </c>
      <c r="O11" s="27"/>
      <c r="P11" s="27"/>
      <c r="Q11" s="27" t="s">
        <v>99</v>
      </c>
      <c r="R11" s="27"/>
      <c r="S11" s="27"/>
      <c r="T11" s="27" t="s">
        <v>100</v>
      </c>
      <c r="U11" s="27"/>
      <c r="V11" s="27"/>
      <c r="W11" s="27" t="s">
        <v>101</v>
      </c>
      <c r="X11" s="27"/>
      <c r="Y11" s="27"/>
      <c r="Z11" s="27" t="s">
        <v>102</v>
      </c>
      <c r="AA11" s="27"/>
      <c r="AB11" s="27"/>
      <c r="AC11" s="27" t="s">
        <v>103</v>
      </c>
      <c r="AD11" s="27"/>
      <c r="AE11" s="27"/>
      <c r="AF11" s="27" t="s">
        <v>105</v>
      </c>
      <c r="AG11" s="27"/>
      <c r="AH11" s="27"/>
      <c r="AI11" s="27" t="s">
        <v>106</v>
      </c>
      <c r="AJ11" s="27"/>
      <c r="AK11" s="27"/>
      <c r="AL11" s="27"/>
      <c r="AM11" s="27"/>
      <c r="AN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</row>
    <row r="12" customFormat="false" ht="10.5" hidden="false" customHeight="true" outlineLevel="0" collapsed="false">
      <c r="A12" s="26"/>
      <c r="B12" s="26"/>
      <c r="C12" s="26"/>
      <c r="D12" s="26"/>
      <c r="E12" s="26"/>
      <c r="F12" s="26"/>
      <c r="G12" s="26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7"/>
      <c r="AC12" s="27"/>
      <c r="AD12" s="27"/>
      <c r="AE12" s="27"/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</row>
    <row r="13" customFormat="false" ht="10.5" hidden="false" customHeight="true" outlineLevel="0" collapsed="false">
      <c r="A13" s="26"/>
      <c r="B13" s="26"/>
      <c r="C13" s="26"/>
      <c r="D13" s="26"/>
      <c r="E13" s="26"/>
      <c r="F13" s="26"/>
      <c r="G13" s="26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/>
      <c r="V13" s="27"/>
      <c r="W13" s="27"/>
      <c r="X13" s="27"/>
      <c r="Y13" s="27"/>
      <c r="Z13" s="27"/>
      <c r="AA13" s="27"/>
      <c r="AB13" s="27"/>
      <c r="AC13" s="27"/>
      <c r="AD13" s="27"/>
      <c r="AE13" s="27"/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</row>
    <row r="14" customFormat="false" ht="10.5" hidden="false" customHeight="true" outlineLevel="0" collapsed="false">
      <c r="A14" s="26"/>
      <c r="B14" s="26"/>
      <c r="C14" s="26"/>
      <c r="D14" s="26"/>
      <c r="E14" s="26"/>
      <c r="F14" s="26"/>
      <c r="G14" s="26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</row>
    <row r="15" customFormat="false" ht="21" hidden="false" customHeight="true" outlineLevel="0" collapsed="false">
      <c r="A15" s="28" t="s">
        <v>54</v>
      </c>
      <c r="B15" s="28"/>
      <c r="C15" s="28"/>
      <c r="D15" s="28"/>
      <c r="E15" s="28"/>
      <c r="F15" s="28"/>
      <c r="G15" s="28"/>
      <c r="H15" s="29" t="n">
        <v>1</v>
      </c>
      <c r="I15" s="29"/>
      <c r="J15" s="29"/>
      <c r="K15" s="29" t="n">
        <v>1</v>
      </c>
      <c r="L15" s="29"/>
      <c r="M15" s="29"/>
      <c r="N15" s="29" t="n">
        <v>2</v>
      </c>
      <c r="O15" s="29"/>
      <c r="P15" s="29"/>
      <c r="Q15" s="29" t="n">
        <v>10</v>
      </c>
      <c r="R15" s="29"/>
      <c r="S15" s="29"/>
      <c r="T15" s="29"/>
      <c r="U15" s="29"/>
      <c r="V15" s="29"/>
      <c r="W15" s="29" t="n">
        <v>2</v>
      </c>
      <c r="X15" s="29"/>
      <c r="Y15" s="29"/>
      <c r="Z15" s="29"/>
      <c r="AA15" s="29"/>
      <c r="AB15" s="29"/>
      <c r="AC15" s="29" t="n">
        <v>18</v>
      </c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</row>
    <row r="16" customFormat="false" ht="21" hidden="false" customHeight="true" outlineLevel="0" collapsed="false">
      <c r="A16" s="30" t="s">
        <v>55</v>
      </c>
      <c r="B16" s="30"/>
      <c r="C16" s="30"/>
      <c r="D16" s="30"/>
      <c r="E16" s="30"/>
      <c r="F16" s="30"/>
      <c r="G16" s="30"/>
      <c r="H16" s="31" t="n">
        <v>2</v>
      </c>
      <c r="I16" s="31"/>
      <c r="J16" s="31"/>
      <c r="K16" s="31" t="n">
        <v>2</v>
      </c>
      <c r="L16" s="31"/>
      <c r="M16" s="31"/>
      <c r="N16" s="31"/>
      <c r="O16" s="31"/>
      <c r="P16" s="31"/>
      <c r="Q16" s="31" t="n">
        <v>8</v>
      </c>
      <c r="R16" s="31"/>
      <c r="S16" s="31"/>
      <c r="T16" s="31"/>
      <c r="U16" s="31"/>
      <c r="V16" s="31"/>
      <c r="W16" s="31"/>
      <c r="X16" s="31"/>
      <c r="Y16" s="31"/>
      <c r="Z16" s="31" t="n">
        <v>4</v>
      </c>
      <c r="AA16" s="31"/>
      <c r="AB16" s="31"/>
      <c r="AC16" s="31" t="n">
        <v>30</v>
      </c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</row>
    <row r="17" customFormat="false" ht="21" hidden="false" customHeight="true" outlineLevel="0" collapsed="false">
      <c r="A17" s="30" t="s">
        <v>56</v>
      </c>
      <c r="B17" s="30"/>
      <c r="C17" s="30"/>
      <c r="D17" s="30"/>
      <c r="E17" s="30"/>
      <c r="F17" s="30"/>
      <c r="G17" s="30"/>
      <c r="H17" s="31" t="n">
        <v>1</v>
      </c>
      <c r="I17" s="31"/>
      <c r="J17" s="31"/>
      <c r="K17" s="31" t="n">
        <v>1</v>
      </c>
      <c r="L17" s="31"/>
      <c r="M17" s="31"/>
      <c r="N17" s="31" t="n">
        <v>2</v>
      </c>
      <c r="O17" s="31"/>
      <c r="P17" s="31"/>
      <c r="Q17" s="31" t="n">
        <v>11</v>
      </c>
      <c r="R17" s="31"/>
      <c r="S17" s="31"/>
      <c r="T17" s="31" t="n">
        <v>7</v>
      </c>
      <c r="U17" s="31"/>
      <c r="V17" s="31"/>
      <c r="W17" s="31"/>
      <c r="X17" s="31"/>
      <c r="Y17" s="31"/>
      <c r="Z17" s="31" t="n">
        <v>2</v>
      </c>
      <c r="AA17" s="31"/>
      <c r="AB17" s="31"/>
      <c r="AC17" s="31" t="n">
        <v>6</v>
      </c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</row>
    <row r="18" customFormat="false" ht="21" hidden="false" customHeight="true" outlineLevel="0" collapsed="false">
      <c r="A18" s="30" t="s">
        <v>57</v>
      </c>
      <c r="B18" s="30"/>
      <c r="C18" s="30"/>
      <c r="D18" s="30"/>
      <c r="E18" s="30"/>
      <c r="F18" s="30"/>
      <c r="G18" s="30"/>
      <c r="H18" s="31" t="n">
        <v>2</v>
      </c>
      <c r="I18" s="31"/>
      <c r="J18" s="31"/>
      <c r="K18" s="31" t="n">
        <v>2</v>
      </c>
      <c r="L18" s="31"/>
      <c r="M18" s="31"/>
      <c r="N18" s="31" t="n">
        <v>8</v>
      </c>
      <c r="O18" s="31"/>
      <c r="P18" s="31"/>
      <c r="Q18" s="31" t="n">
        <v>30</v>
      </c>
      <c r="R18" s="31"/>
      <c r="S18" s="31"/>
      <c r="T18" s="31"/>
      <c r="U18" s="31"/>
      <c r="V18" s="31"/>
      <c r="W18" s="31" t="n">
        <v>2</v>
      </c>
      <c r="X18" s="31"/>
      <c r="Y18" s="31"/>
      <c r="Z18" s="31"/>
      <c r="AA18" s="31"/>
      <c r="AB18" s="31"/>
      <c r="AC18" s="31"/>
      <c r="AD18" s="31"/>
      <c r="AE18" s="31"/>
      <c r="AF18" s="31" t="n">
        <v>2</v>
      </c>
      <c r="AG18" s="31"/>
      <c r="AH18" s="31"/>
      <c r="AI18" s="31" t="n">
        <v>2</v>
      </c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</row>
    <row r="19" customFormat="false" ht="21" hidden="false" customHeight="true" outlineLevel="0" collapsed="false">
      <c r="A19" s="30" t="s">
        <v>58</v>
      </c>
      <c r="B19" s="30"/>
      <c r="C19" s="30"/>
      <c r="D19" s="30"/>
      <c r="E19" s="30"/>
      <c r="F19" s="30"/>
      <c r="G19" s="30"/>
      <c r="H19" s="31"/>
      <c r="I19" s="31"/>
      <c r="J19" s="31"/>
      <c r="K19" s="31"/>
      <c r="L19" s="31"/>
      <c r="M19" s="31"/>
      <c r="N19" s="31" t="n">
        <v>4</v>
      </c>
      <c r="O19" s="31"/>
      <c r="P19" s="31"/>
      <c r="Q19" s="31" t="n">
        <v>17</v>
      </c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 t="n">
        <v>2</v>
      </c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</row>
    <row r="20" customFormat="false" ht="21" hidden="false" customHeight="true" outlineLevel="0" collapsed="false">
      <c r="A20" s="30"/>
      <c r="B20" s="30"/>
      <c r="C20" s="30"/>
      <c r="D20" s="30"/>
      <c r="E20" s="30"/>
      <c r="F20" s="30"/>
      <c r="G20" s="30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</row>
    <row r="21" customFormat="false" ht="21" hidden="false" customHeight="true" outlineLevel="0" collapsed="false">
      <c r="A21" s="30"/>
      <c r="B21" s="30"/>
      <c r="C21" s="30"/>
      <c r="D21" s="30"/>
      <c r="E21" s="30"/>
      <c r="F21" s="30"/>
      <c r="G21" s="30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</row>
    <row r="22" customFormat="false" ht="18.75" hidden="false" customHeight="true" outlineLevel="0" collapsed="false">
      <c r="A22" s="32" t="s">
        <v>68</v>
      </c>
      <c r="B22" s="32"/>
      <c r="C22" s="32"/>
      <c r="D22" s="32"/>
      <c r="E22" s="32"/>
      <c r="F22" s="32"/>
      <c r="G22" s="32"/>
      <c r="H22" s="31" t="n">
        <f aca="false">SUM(H15:J21)</f>
        <v>6</v>
      </c>
      <c r="I22" s="31"/>
      <c r="J22" s="31"/>
      <c r="K22" s="31" t="n">
        <f aca="false">SUM(K15:M21)</f>
        <v>6</v>
      </c>
      <c r="L22" s="31"/>
      <c r="M22" s="31"/>
      <c r="N22" s="31" t="n">
        <f aca="false">SUM(N15:P21)</f>
        <v>16</v>
      </c>
      <c r="O22" s="31"/>
      <c r="P22" s="31"/>
      <c r="Q22" s="31" t="n">
        <f aca="false">SUM(Q15:S21)</f>
        <v>76</v>
      </c>
      <c r="R22" s="31"/>
      <c r="S22" s="31"/>
      <c r="T22" s="31" t="n">
        <f aca="false">SUM(T15:V21)</f>
        <v>7</v>
      </c>
      <c r="U22" s="31"/>
      <c r="V22" s="31"/>
      <c r="W22" s="31" t="n">
        <f aca="false">SUM(W15:Y21)</f>
        <v>4</v>
      </c>
      <c r="X22" s="31"/>
      <c r="Y22" s="31"/>
      <c r="Z22" s="31" t="n">
        <f aca="false">SUM(Z15:AB21)</f>
        <v>6</v>
      </c>
      <c r="AA22" s="31"/>
      <c r="AB22" s="31"/>
      <c r="AC22" s="31" t="n">
        <f aca="false">SUM(AC15:AE21)</f>
        <v>54</v>
      </c>
      <c r="AD22" s="31"/>
      <c r="AE22" s="31"/>
      <c r="AF22" s="31" t="n">
        <f aca="false">SUM(AF15:AH21)</f>
        <v>4</v>
      </c>
      <c r="AG22" s="31"/>
      <c r="AH22" s="31"/>
      <c r="AI22" s="31" t="n">
        <f aca="false">SUM(AI15:AK21)</f>
        <v>2</v>
      </c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</row>
    <row r="23" customFormat="false" ht="18.75" hidden="false" customHeight="true" outlineLevel="0" collapsed="false">
      <c r="A23" s="33" t="s">
        <v>69</v>
      </c>
      <c r="B23" s="33"/>
      <c r="C23" s="33"/>
      <c r="D23" s="33"/>
      <c r="E23" s="33"/>
      <c r="F23" s="33"/>
      <c r="G23" s="33"/>
      <c r="H23" s="34" t="n">
        <v>5.4</v>
      </c>
      <c r="I23" s="34"/>
      <c r="J23" s="34"/>
      <c r="K23" s="34" t="n">
        <v>27.018</v>
      </c>
      <c r="L23" s="34"/>
      <c r="M23" s="34"/>
      <c r="N23" s="34" t="n">
        <v>18.009</v>
      </c>
      <c r="O23" s="34"/>
      <c r="P23" s="34"/>
      <c r="Q23" s="34" t="n">
        <v>21.015</v>
      </c>
      <c r="R23" s="34"/>
      <c r="S23" s="34"/>
      <c r="T23" s="34" t="n">
        <v>3.006</v>
      </c>
      <c r="U23" s="34"/>
      <c r="V23" s="34"/>
      <c r="W23" s="34" t="n">
        <v>4.203</v>
      </c>
      <c r="X23" s="34"/>
      <c r="Y23" s="34"/>
      <c r="Z23" s="34" t="n">
        <v>4.806</v>
      </c>
      <c r="AA23" s="34"/>
      <c r="AB23" s="34"/>
      <c r="AC23" s="34" t="n">
        <v>6.606</v>
      </c>
      <c r="AD23" s="34"/>
      <c r="AE23" s="34"/>
      <c r="AF23" s="34" t="n">
        <v>18.009</v>
      </c>
      <c r="AG23" s="34"/>
      <c r="AH23" s="34"/>
      <c r="AI23" s="34" t="n">
        <v>21.015</v>
      </c>
      <c r="AJ23" s="34"/>
      <c r="AK23" s="34"/>
      <c r="AL23" s="34"/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</row>
    <row r="24" customFormat="false" ht="18.75" hidden="false" customHeight="true" outlineLevel="0" collapsed="false">
      <c r="A24" s="35" t="s">
        <v>70</v>
      </c>
      <c r="B24" s="35"/>
      <c r="C24" s="35"/>
      <c r="D24" s="35"/>
      <c r="E24" s="35"/>
      <c r="F24" s="35"/>
      <c r="G24" s="35"/>
      <c r="H24" s="36" t="n">
        <f aca="false">H22*H23</f>
        <v>32.4</v>
      </c>
      <c r="I24" s="36"/>
      <c r="J24" s="36"/>
      <c r="K24" s="36" t="n">
        <f aca="false">K22*K23</f>
        <v>162.108</v>
      </c>
      <c r="L24" s="36"/>
      <c r="M24" s="36"/>
      <c r="N24" s="36" t="n">
        <f aca="false">N22*N23</f>
        <v>288.144</v>
      </c>
      <c r="O24" s="36"/>
      <c r="P24" s="36"/>
      <c r="Q24" s="36" t="n">
        <f aca="false">Q22*Q23</f>
        <v>1597.14</v>
      </c>
      <c r="R24" s="36"/>
      <c r="S24" s="36"/>
      <c r="T24" s="36" t="n">
        <f aca="false">T22*T23</f>
        <v>21.042</v>
      </c>
      <c r="U24" s="36"/>
      <c r="V24" s="36"/>
      <c r="W24" s="36" t="n">
        <f aca="false">W22*W23</f>
        <v>16.812</v>
      </c>
      <c r="X24" s="36"/>
      <c r="Y24" s="36"/>
      <c r="Z24" s="36" t="n">
        <f aca="false">Z22*Z23</f>
        <v>28.836</v>
      </c>
      <c r="AA24" s="36"/>
      <c r="AB24" s="36"/>
      <c r="AC24" s="36" t="n">
        <f aca="false">AC22*AC23</f>
        <v>356.724</v>
      </c>
      <c r="AD24" s="36"/>
      <c r="AE24" s="36"/>
      <c r="AF24" s="36" t="n">
        <f aca="false">AF22*AF23</f>
        <v>72.036</v>
      </c>
      <c r="AG24" s="36"/>
      <c r="AH24" s="36"/>
      <c r="AI24" s="36" t="n">
        <f aca="false">AI22*AI23</f>
        <v>42.03</v>
      </c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</row>
    <row r="25" customFormat="false" ht="15.75" hidden="false" customHeight="true" outlineLevel="0" collapsed="false">
      <c r="A25" s="37" t="s">
        <v>71</v>
      </c>
      <c r="B25" s="38"/>
      <c r="C25" s="38"/>
      <c r="D25" s="38"/>
      <c r="E25" s="38"/>
      <c r="F25" s="38"/>
      <c r="G25" s="38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40" t="n">
        <f aca="false">SUM(H24:AZ24)</f>
        <v>2617.272</v>
      </c>
      <c r="AW25" s="40"/>
      <c r="AX25" s="40"/>
      <c r="AY25" s="40"/>
      <c r="AZ25" s="40"/>
    </row>
    <row r="26" customFormat="false" ht="15.75" hidden="false" customHeight="true" outlineLevel="0" collapsed="false">
      <c r="A26" s="2"/>
      <c r="B26" s="41"/>
      <c r="C26" s="41"/>
      <c r="D26" s="41"/>
      <c r="E26" s="41"/>
      <c r="F26" s="41"/>
      <c r="G26" s="41"/>
      <c r="H26" s="2"/>
      <c r="I26" s="2"/>
      <c r="J26" s="2"/>
      <c r="K26" s="2"/>
      <c r="L26" s="2"/>
      <c r="M26" s="2"/>
      <c r="N26" s="2"/>
      <c r="O26" s="2"/>
      <c r="P26" s="2"/>
      <c r="Q26" s="42"/>
      <c r="R26" s="42"/>
      <c r="S26" s="4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3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40"/>
      <c r="AW26" s="40"/>
      <c r="AX26" s="40"/>
      <c r="AY26" s="40"/>
      <c r="AZ26" s="40"/>
    </row>
    <row r="27" customFormat="false" ht="15.75" hidden="false" customHeight="true" outlineLevel="0" collapsed="false">
      <c r="A27" s="44"/>
      <c r="B27" s="45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6" t="s">
        <v>73</v>
      </c>
      <c r="AE27" s="2"/>
      <c r="AF27" s="2"/>
      <c r="AH27" s="43"/>
      <c r="AI27" s="2"/>
      <c r="AJ27" s="2"/>
      <c r="AK27" s="44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3"/>
      <c r="AH28" s="4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6" t="s">
        <v>75</v>
      </c>
      <c r="B29" s="41"/>
      <c r="C29" s="41"/>
      <c r="D29" s="41"/>
      <c r="E29" s="41"/>
      <c r="F29" s="41"/>
      <c r="G29" s="41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3"/>
      <c r="AG29" s="43"/>
      <c r="AH29" s="43"/>
      <c r="AI29" s="2"/>
      <c r="AJ29" s="2"/>
      <c r="AK29" s="44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7" t="s">
        <v>79</v>
      </c>
      <c r="AV29" s="17"/>
      <c r="AW29" s="17"/>
      <c r="AX29" s="17"/>
      <c r="AY29" s="17"/>
      <c r="AZ29" s="17"/>
    </row>
    <row r="30" customFormat="false" ht="15.75" hidden="false" customHeight="true" outlineLevel="0" collapsed="false">
      <c r="A30" s="41"/>
      <c r="B30" s="41"/>
      <c r="C30" s="41"/>
      <c r="D30" s="41"/>
      <c r="E30" s="41"/>
      <c r="F30" s="41"/>
      <c r="G30" s="41"/>
      <c r="H30" s="2"/>
      <c r="I30" s="2"/>
      <c r="J30" s="2"/>
      <c r="K30" s="48" t="s">
        <v>80</v>
      </c>
      <c r="L30" s="49"/>
      <c r="M30" s="49"/>
      <c r="N30" s="49"/>
      <c r="O30" s="49"/>
      <c r="P30" s="49"/>
      <c r="Q30" s="49"/>
      <c r="R30" s="49"/>
      <c r="S30" s="49"/>
      <c r="T30" s="49"/>
      <c r="U30" s="48" t="s">
        <v>81</v>
      </c>
      <c r="V30" s="49"/>
      <c r="W30" s="49"/>
      <c r="X30" s="49"/>
      <c r="Y30" s="49"/>
      <c r="Z30" s="49"/>
      <c r="AA30" s="49"/>
      <c r="AB30" s="49"/>
      <c r="AC30" s="49"/>
      <c r="AD30" s="2"/>
      <c r="AE30" s="2"/>
      <c r="AF30" s="43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8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1"/>
      <c r="B31" s="41"/>
      <c r="C31" s="41"/>
      <c r="D31" s="41"/>
      <c r="E31" s="41"/>
      <c r="F31" s="41"/>
      <c r="G31" s="41"/>
      <c r="H31" s="2"/>
      <c r="I31" s="2"/>
      <c r="J31" s="2"/>
      <c r="K31" s="2"/>
      <c r="L31" s="2"/>
      <c r="M31" s="2"/>
      <c r="N31" s="2"/>
      <c r="O31" s="2"/>
      <c r="P31" s="2"/>
      <c r="Q31" s="42"/>
      <c r="R31" s="42"/>
      <c r="S31" s="4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3"/>
      <c r="AG31" s="43"/>
      <c r="AH31" s="43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1"/>
      <c r="B32" s="41"/>
      <c r="C32" s="41"/>
      <c r="D32" s="41"/>
      <c r="E32" s="41"/>
      <c r="F32" s="41"/>
      <c r="G32" s="41"/>
      <c r="H32" s="2"/>
      <c r="I32" s="2"/>
      <c r="J32" s="2"/>
      <c r="K32" s="2"/>
      <c r="L32" s="2"/>
      <c r="M32" s="2"/>
      <c r="N32" s="2"/>
      <c r="O32" s="2"/>
      <c r="P32" s="2"/>
      <c r="Q32" s="42"/>
      <c r="R32" s="42"/>
      <c r="S32" s="4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3"/>
      <c r="AG32" s="43"/>
      <c r="AH32" s="4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1"/>
      <c r="B33" s="41"/>
      <c r="C33" s="41"/>
      <c r="D33" s="41"/>
      <c r="E33" s="41"/>
      <c r="F33" s="41"/>
      <c r="G33" s="41"/>
      <c r="H33" s="2"/>
      <c r="I33" s="2"/>
      <c r="J33" s="2"/>
      <c r="K33" s="2"/>
      <c r="L33" s="2"/>
      <c r="M33" s="2"/>
      <c r="N33" s="2"/>
      <c r="O33" s="2"/>
      <c r="P33" s="2"/>
      <c r="Q33" s="42"/>
      <c r="R33" s="42"/>
      <c r="S33" s="4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3"/>
      <c r="AG33" s="43"/>
      <c r="AH33" s="4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1"/>
      <c r="B34" s="41"/>
      <c r="C34" s="41"/>
      <c r="D34" s="41"/>
      <c r="E34" s="41"/>
      <c r="F34" s="41"/>
      <c r="G34" s="41"/>
      <c r="H34" s="2"/>
      <c r="I34" s="2"/>
      <c r="J34" s="2"/>
      <c r="K34" s="2"/>
      <c r="L34" s="2"/>
      <c r="M34" s="2"/>
      <c r="N34" s="2"/>
      <c r="O34" s="2"/>
      <c r="P34" s="2"/>
      <c r="Q34" s="42"/>
      <c r="R34" s="42"/>
      <c r="S34" s="4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3"/>
      <c r="AG34" s="43"/>
      <c r="AH34" s="43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1"/>
      <c r="B35" s="41"/>
      <c r="C35" s="41"/>
      <c r="D35" s="41"/>
      <c r="E35" s="41"/>
      <c r="F35" s="41"/>
      <c r="G35" s="41"/>
      <c r="H35" s="2"/>
      <c r="I35" s="2"/>
      <c r="J35" s="2"/>
      <c r="K35" s="2"/>
      <c r="L35" s="2"/>
      <c r="M35" s="2"/>
      <c r="N35" s="2"/>
      <c r="O35" s="2"/>
      <c r="P35" s="2"/>
      <c r="Q35" s="42"/>
      <c r="R35" s="42"/>
      <c r="S35" s="4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3"/>
      <c r="AG35" s="43"/>
      <c r="AH35" s="43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1"/>
      <c r="B36" s="41"/>
      <c r="C36" s="41"/>
      <c r="D36" s="41"/>
      <c r="E36" s="41"/>
      <c r="F36" s="41"/>
      <c r="G36" s="41"/>
      <c r="H36" s="2"/>
      <c r="I36" s="2"/>
      <c r="J36" s="2"/>
      <c r="K36" s="2"/>
      <c r="L36" s="2"/>
      <c r="M36" s="2"/>
      <c r="N36" s="2"/>
      <c r="O36" s="2"/>
      <c r="P36" s="2"/>
      <c r="Q36" s="42"/>
      <c r="R36" s="42"/>
      <c r="S36" s="4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3"/>
      <c r="AG36" s="43"/>
      <c r="AH36" s="4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1"/>
      <c r="B37" s="41"/>
      <c r="C37" s="41"/>
      <c r="D37" s="41"/>
      <c r="E37" s="41"/>
      <c r="F37" s="41"/>
      <c r="G37" s="41"/>
      <c r="H37" s="2"/>
      <c r="I37" s="2"/>
      <c r="J37" s="2"/>
      <c r="K37" s="2"/>
      <c r="L37" s="2"/>
      <c r="M37" s="2"/>
      <c r="N37" s="2"/>
      <c r="O37" s="2"/>
      <c r="P37" s="2"/>
      <c r="Q37" s="42"/>
      <c r="R37" s="42"/>
      <c r="S37" s="4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3"/>
      <c r="AG37" s="43"/>
      <c r="AH37" s="4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1"/>
      <c r="B38" s="41"/>
      <c r="C38" s="41"/>
      <c r="D38" s="41"/>
      <c r="E38" s="41"/>
      <c r="F38" s="41"/>
      <c r="G38" s="41"/>
      <c r="H38" s="2"/>
      <c r="I38" s="2"/>
      <c r="J38" s="2"/>
      <c r="K38" s="2"/>
      <c r="L38" s="2"/>
      <c r="M38" s="2"/>
      <c r="N38" s="2"/>
      <c r="O38" s="2"/>
      <c r="P38" s="2"/>
      <c r="Q38" s="42"/>
      <c r="R38" s="42"/>
      <c r="S38" s="4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3"/>
      <c r="AG38" s="43"/>
      <c r="AH38" s="43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6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2" t="s">
        <v>0</v>
      </c>
      <c r="C1" s="52" t="s">
        <v>1</v>
      </c>
      <c r="H1" s="53" t="s">
        <v>4</v>
      </c>
    </row>
    <row r="2" customFormat="false" ht="15" hidden="false" customHeight="true" outlineLevel="0" collapsed="false">
      <c r="A2" s="52" t="s">
        <v>5</v>
      </c>
      <c r="C2" s="52" t="s">
        <v>6</v>
      </c>
      <c r="H2" s="54" t="s">
        <v>8</v>
      </c>
    </row>
    <row r="3" customFormat="false" ht="15" hidden="false" customHeight="true" outlineLevel="0" collapsed="false">
      <c r="A3" s="52" t="s">
        <v>9</v>
      </c>
      <c r="C3" s="52" t="s">
        <v>10</v>
      </c>
      <c r="H3" s="54" t="s">
        <v>13</v>
      </c>
    </row>
    <row r="4" customFormat="false" ht="15" hidden="false" customHeight="true" outlineLevel="0" collapsed="false">
      <c r="A4" s="52" t="s">
        <v>14</v>
      </c>
      <c r="C4" s="52" t="s">
        <v>15</v>
      </c>
      <c r="H4" s="54" t="s">
        <v>135</v>
      </c>
    </row>
    <row r="5" customFormat="false" ht="15" hidden="false" customHeight="true" outlineLevel="0" collapsed="false">
      <c r="H5" s="55" t="s">
        <v>136</v>
      </c>
    </row>
    <row r="6" customFormat="false" ht="15" hidden="false" customHeight="true" outlineLevel="0" collapsed="false">
      <c r="A6" s="56" t="s">
        <v>137</v>
      </c>
      <c r="C6" s="57" t="s">
        <v>4</v>
      </c>
      <c r="D6" s="58"/>
      <c r="E6" s="58"/>
      <c r="F6" s="58"/>
    </row>
    <row r="7" customFormat="false" ht="15" hidden="false" customHeight="true" outlineLevel="0" collapsed="false">
      <c r="C7" s="59" t="s">
        <v>138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60" t="s">
        <v>139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1" t="s">
        <v>140</v>
      </c>
      <c r="C11" s="57" t="s">
        <v>141</v>
      </c>
      <c r="D11" s="58"/>
      <c r="E11" s="58"/>
      <c r="F11" s="56" t="s">
        <v>142</v>
      </c>
      <c r="H11" s="58"/>
      <c r="I11" s="62" t="n">
        <v>225405</v>
      </c>
      <c r="J11" s="62"/>
      <c r="K11" s="58"/>
    </row>
    <row r="12" customFormat="false" ht="15" hidden="false" customHeight="true" outlineLevel="0" collapsed="false"/>
    <row r="13" customFormat="false" ht="15" hidden="false" customHeight="true" outlineLevel="0" collapsed="false">
      <c r="A13" s="61" t="s">
        <v>143</v>
      </c>
      <c r="C13" s="57" t="s">
        <v>17</v>
      </c>
      <c r="D13" s="58"/>
      <c r="E13" s="58"/>
      <c r="F13" s="61" t="s">
        <v>11</v>
      </c>
      <c r="H13" s="57" t="s">
        <v>144</v>
      </c>
      <c r="I13" s="58"/>
      <c r="J13" s="58"/>
      <c r="K13" s="58"/>
    </row>
    <row r="14" customFormat="false" ht="15" hidden="false" customHeight="true" outlineLevel="0" collapsed="false"/>
    <row r="15" customFormat="false" ht="15" hidden="false" customHeight="true" outlineLevel="0" collapsed="false">
      <c r="A15" s="56" t="s">
        <v>145</v>
      </c>
      <c r="B15" s="63" t="s">
        <v>146</v>
      </c>
      <c r="C15" s="64" t="s">
        <v>147</v>
      </c>
      <c r="D15" s="65" t="s">
        <v>148</v>
      </c>
      <c r="E15" s="65" t="s">
        <v>149</v>
      </c>
      <c r="F15" s="65" t="s">
        <v>150</v>
      </c>
      <c r="G15" s="65" t="s">
        <v>151</v>
      </c>
      <c r="H15" s="65" t="s">
        <v>152</v>
      </c>
      <c r="I15" s="66" t="s">
        <v>153</v>
      </c>
      <c r="J15" s="67" t="s">
        <v>154</v>
      </c>
      <c r="K15" s="67"/>
    </row>
    <row r="16" customFormat="false" ht="15" hidden="false" customHeight="true" outlineLevel="0" collapsed="false">
      <c r="C16" s="68" t="s">
        <v>155</v>
      </c>
      <c r="D16" s="69"/>
      <c r="E16" s="69"/>
      <c r="F16" s="69"/>
      <c r="G16" s="69"/>
      <c r="H16" s="69"/>
      <c r="I16" s="70"/>
      <c r="J16" s="71" t="s">
        <v>156</v>
      </c>
      <c r="K16" s="72" t="s">
        <v>157</v>
      </c>
    </row>
    <row r="17" customFormat="false" ht="15.75" hidden="false" customHeight="true" outlineLevel="0" collapsed="false">
      <c r="A17" s="73" t="s">
        <v>158</v>
      </c>
      <c r="B17" s="74" t="s">
        <v>159</v>
      </c>
      <c r="C17" s="75"/>
      <c r="D17" s="75"/>
      <c r="E17" s="75"/>
      <c r="F17" s="75"/>
      <c r="G17" s="75"/>
      <c r="H17" s="75"/>
      <c r="I17" s="75"/>
      <c r="J17" s="75"/>
      <c r="K17" s="75"/>
    </row>
    <row r="18" customFormat="false" ht="15.75" hidden="false" customHeight="true" outlineLevel="0" collapsed="false">
      <c r="A18" s="73" t="s">
        <v>158</v>
      </c>
      <c r="B18" s="74" t="s">
        <v>160</v>
      </c>
      <c r="C18" s="75"/>
      <c r="D18" s="75"/>
      <c r="E18" s="75"/>
      <c r="F18" s="75"/>
      <c r="G18" s="75"/>
      <c r="H18" s="75"/>
      <c r="I18" s="75"/>
      <c r="J18" s="75"/>
      <c r="K18" s="75"/>
    </row>
    <row r="19" customFormat="false" ht="15.75" hidden="false" customHeight="true" outlineLevel="0" collapsed="false">
      <c r="A19" s="73" t="s">
        <v>158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</row>
    <row r="20" customFormat="false" ht="15.75" hidden="false" customHeight="true" outlineLevel="0" collapsed="false">
      <c r="A20" s="73" t="s">
        <v>158</v>
      </c>
      <c r="B20" s="75"/>
      <c r="C20" s="75"/>
      <c r="D20" s="75"/>
      <c r="E20" s="75"/>
      <c r="F20" s="75"/>
      <c r="G20" s="75"/>
      <c r="H20" s="75"/>
      <c r="I20" s="75"/>
      <c r="J20" s="75"/>
      <c r="K20" s="75"/>
    </row>
    <row r="21" customFormat="false" ht="15.75" hidden="false" customHeight="true" outlineLevel="0" collapsed="false">
      <c r="A21" s="73" t="s">
        <v>158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</row>
    <row r="22" customFormat="false" ht="15.75" hidden="false" customHeight="true" outlineLevel="0" collapsed="false">
      <c r="A22" s="73" t="s">
        <v>158</v>
      </c>
      <c r="B22" s="75"/>
      <c r="C22" s="75"/>
      <c r="D22" s="75"/>
      <c r="E22" s="75"/>
      <c r="F22" s="75"/>
      <c r="G22" s="75"/>
      <c r="H22" s="75"/>
      <c r="I22" s="75"/>
      <c r="J22" s="75"/>
      <c r="K22" s="75"/>
    </row>
    <row r="23" customFormat="false" ht="15" hidden="false" customHeight="true" outlineLevel="0" collapsed="false">
      <c r="A23" s="76" t="s">
        <v>161</v>
      </c>
      <c r="B23" s="76"/>
      <c r="C23" s="77" t="str">
        <f aca="false">IF(SUM(C17:C22)=0,"-",SUM(C17:C22))</f>
        <v>-</v>
      </c>
      <c r="D23" s="77" t="str">
        <f aca="false">IF(SUM(D17:D22)=0,"-",SUM(D17:D22))</f>
        <v>-</v>
      </c>
      <c r="E23" s="77" t="str">
        <f aca="false">IF(SUM(E17:E22)=0,"-",SUM(E17:E22))</f>
        <v>-</v>
      </c>
      <c r="F23" s="77" t="str">
        <f aca="false">IF(SUM(F17:F22)=0,"-",SUM(F17:F22))</f>
        <v>-</v>
      </c>
      <c r="G23" s="77" t="str">
        <f aca="false">IF(SUM(G17:G22)=0,"-",SUM(G17:G22))</f>
        <v>-</v>
      </c>
      <c r="H23" s="77" t="str">
        <f aca="false">IF(SUM(H17:H22)=0,"-",SUM(H17:H22))</f>
        <v>-</v>
      </c>
      <c r="I23" s="77" t="str">
        <f aca="false">IF(SUM(I17:I22)=0,"-",SUM(I17:I22))</f>
        <v>-</v>
      </c>
      <c r="J23" s="78"/>
      <c r="K23" s="79"/>
    </row>
    <row r="24" customFormat="false" ht="15" hidden="false" customHeight="true" outlineLevel="0" collapsed="false">
      <c r="A24" s="76" t="s">
        <v>162</v>
      </c>
      <c r="B24" s="76"/>
      <c r="C24" s="80" t="n">
        <v>139</v>
      </c>
      <c r="D24" s="80"/>
    </row>
    <row r="25" customFormat="false" ht="15" hidden="false" customHeight="true" outlineLevel="0" collapsed="false">
      <c r="A25" s="61" t="s">
        <v>163</v>
      </c>
    </row>
    <row r="26" customFormat="false" ht="15" hidden="false" customHeight="true" outlineLevel="0" collapsed="false">
      <c r="D26" s="56" t="s">
        <v>164</v>
      </c>
      <c r="I26" s="56" t="s">
        <v>165</v>
      </c>
      <c r="J26" s="56" t="s">
        <v>166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1" t="s">
        <v>167</v>
      </c>
      <c r="B28" s="81" t="s">
        <v>168</v>
      </c>
      <c r="C28" s="81" t="s">
        <v>169</v>
      </c>
      <c r="D28" s="81"/>
      <c r="E28" s="81"/>
      <c r="F28" s="81"/>
      <c r="G28" s="81"/>
      <c r="H28" s="81"/>
      <c r="I28" s="81"/>
      <c r="J28" s="81"/>
      <c r="K28" s="81"/>
    </row>
    <row r="29" customFormat="false" ht="15" hidden="false" customHeight="true" outlineLevel="0" collapsed="false">
      <c r="A29" s="81" t="s">
        <v>170</v>
      </c>
      <c r="B29" s="74" t="s">
        <v>171</v>
      </c>
      <c r="C29" s="82" t="s">
        <v>172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5"/>
      <c r="B30" s="75"/>
      <c r="C30" s="83" t="s">
        <v>173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5"/>
      <c r="B31" s="75"/>
      <c r="C31" s="84"/>
      <c r="D31" s="84"/>
      <c r="E31" s="84"/>
      <c r="F31" s="84"/>
      <c r="G31" s="84"/>
      <c r="H31" s="84"/>
      <c r="I31" s="84"/>
      <c r="J31" s="84"/>
      <c r="K31" s="84"/>
    </row>
    <row r="32" customFormat="false" ht="15" hidden="false" customHeight="true" outlineLevel="0" collapsed="false">
      <c r="A32" s="81" t="s">
        <v>170</v>
      </c>
      <c r="B32" s="74" t="s">
        <v>174</v>
      </c>
      <c r="C32" s="85" t="s">
        <v>175</v>
      </c>
      <c r="D32" s="85"/>
      <c r="E32" s="85"/>
      <c r="F32" s="85"/>
      <c r="G32" s="85"/>
      <c r="H32" s="85"/>
      <c r="I32" s="85"/>
      <c r="J32" s="85"/>
      <c r="K32" s="85"/>
    </row>
    <row r="33" customFormat="false" ht="15" hidden="false" customHeight="true" outlineLevel="0" collapsed="false">
      <c r="A33" s="75"/>
      <c r="B33" s="75"/>
      <c r="C33" s="83" t="s">
        <v>176</v>
      </c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5"/>
      <c r="B34" s="75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81" t="s">
        <v>170</v>
      </c>
      <c r="B35" s="75"/>
      <c r="C35" s="85" t="s">
        <v>177</v>
      </c>
      <c r="D35" s="85"/>
      <c r="E35" s="85"/>
      <c r="F35" s="85"/>
      <c r="G35" s="85"/>
      <c r="H35" s="85"/>
      <c r="I35" s="85"/>
      <c r="J35" s="85"/>
      <c r="K35" s="85"/>
    </row>
    <row r="36" customFormat="false" ht="15" hidden="false" customHeight="true" outlineLevel="0" collapsed="false">
      <c r="A36" s="75"/>
      <c r="B36" s="75"/>
      <c r="C36" s="83" t="s">
        <v>178</v>
      </c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5"/>
      <c r="B37" s="75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5"/>
      <c r="B38" s="75"/>
      <c r="C38" s="85" t="s">
        <v>179</v>
      </c>
      <c r="D38" s="85"/>
      <c r="E38" s="85"/>
      <c r="F38" s="85"/>
      <c r="G38" s="85"/>
      <c r="H38" s="85"/>
      <c r="I38" s="85"/>
      <c r="J38" s="85"/>
      <c r="K38" s="85"/>
    </row>
    <row r="39" customFormat="false" ht="15" hidden="false" customHeight="true" outlineLevel="0" collapsed="false">
      <c r="A39" s="75"/>
      <c r="B39" s="75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5"/>
      <c r="B40" s="75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5"/>
      <c r="B41" s="75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5"/>
      <c r="B42" s="75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5"/>
      <c r="B43" s="75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5"/>
      <c r="B44" s="75"/>
      <c r="C44" s="86"/>
      <c r="D44" s="86"/>
      <c r="E44" s="86"/>
      <c r="F44" s="86"/>
      <c r="G44" s="86"/>
      <c r="H44" s="86"/>
      <c r="I44" s="86"/>
      <c r="J44" s="86"/>
      <c r="K44" s="86"/>
    </row>
    <row r="45" customFormat="false" ht="15" hidden="false" customHeight="true" outlineLevel="0" collapsed="false"/>
    <row r="46" customFormat="false" ht="15" hidden="false" customHeight="true" outlineLevel="0" collapsed="false">
      <c r="A46" s="56" t="s">
        <v>180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6" t="s">
        <v>181</v>
      </c>
      <c r="D48" s="56" t="s">
        <v>182</v>
      </c>
      <c r="F48" s="58"/>
      <c r="G48" s="58"/>
      <c r="H48" s="58"/>
      <c r="I48" s="58"/>
      <c r="J48" s="58"/>
      <c r="K48" s="58"/>
    </row>
    <row r="49" customFormat="false" ht="15" hidden="false" customHeight="true" outlineLevel="0" collapsed="false">
      <c r="G49" s="59" t="s">
        <v>183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7" t="s">
        <v>184</v>
      </c>
      <c r="B53" s="58"/>
      <c r="D53" s="57" t="s">
        <v>185</v>
      </c>
      <c r="E53" s="58"/>
      <c r="F53" s="58"/>
      <c r="H53" s="58"/>
      <c r="I53" s="58"/>
      <c r="J53" s="58"/>
      <c r="K53" s="58"/>
    </row>
    <row r="54" customFormat="false" ht="15" hidden="false" customHeight="true" outlineLevel="0" collapsed="false">
      <c r="A54" s="59" t="s">
        <v>186</v>
      </c>
      <c r="D54" s="59" t="s">
        <v>187</v>
      </c>
      <c r="H54" s="59" t="s">
        <v>188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2" t="s">
        <v>0</v>
      </c>
      <c r="C1" s="52" t="s">
        <v>1</v>
      </c>
      <c r="H1" s="53" t="s">
        <v>4</v>
      </c>
    </row>
    <row r="2" customFormat="false" ht="15" hidden="false" customHeight="true" outlineLevel="0" collapsed="false">
      <c r="A2" s="52" t="s">
        <v>5</v>
      </c>
      <c r="C2" s="52" t="s">
        <v>6</v>
      </c>
      <c r="H2" s="54" t="s">
        <v>8</v>
      </c>
    </row>
    <row r="3" customFormat="false" ht="15" hidden="false" customHeight="true" outlineLevel="0" collapsed="false">
      <c r="A3" s="52" t="s">
        <v>9</v>
      </c>
      <c r="C3" s="52" t="s">
        <v>10</v>
      </c>
      <c r="H3" s="54" t="s">
        <v>13</v>
      </c>
    </row>
    <row r="4" customFormat="false" ht="15" hidden="false" customHeight="true" outlineLevel="0" collapsed="false">
      <c r="A4" s="52" t="s">
        <v>14</v>
      </c>
      <c r="C4" s="52" t="s">
        <v>15</v>
      </c>
      <c r="H4" s="54" t="s">
        <v>135</v>
      </c>
    </row>
    <row r="5" customFormat="false" ht="15" hidden="false" customHeight="true" outlineLevel="0" collapsed="false">
      <c r="H5" s="55" t="s">
        <v>136</v>
      </c>
    </row>
    <row r="6" customFormat="false" ht="15" hidden="false" customHeight="true" outlineLevel="0" collapsed="false">
      <c r="A6" s="56" t="s">
        <v>137</v>
      </c>
      <c r="C6" s="57" t="s">
        <v>4</v>
      </c>
      <c r="D6" s="58"/>
      <c r="E6" s="58"/>
      <c r="F6" s="58"/>
    </row>
    <row r="7" customFormat="false" ht="15" hidden="false" customHeight="true" outlineLevel="0" collapsed="false">
      <c r="C7" s="59" t="s">
        <v>138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60" t="s">
        <v>139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1" t="s">
        <v>140</v>
      </c>
      <c r="C11" s="57" t="s">
        <v>141</v>
      </c>
      <c r="D11" s="58"/>
      <c r="E11" s="58"/>
      <c r="F11" s="56" t="s">
        <v>142</v>
      </c>
      <c r="H11" s="58"/>
      <c r="I11" s="62" t="n">
        <v>225405</v>
      </c>
      <c r="J11" s="62"/>
      <c r="K11" s="58"/>
    </row>
    <row r="12" customFormat="false" ht="15" hidden="false" customHeight="true" outlineLevel="0" collapsed="false"/>
    <row r="13" customFormat="false" ht="15" hidden="false" customHeight="true" outlineLevel="0" collapsed="false">
      <c r="A13" s="61" t="s">
        <v>143</v>
      </c>
      <c r="C13" s="57" t="s">
        <v>17</v>
      </c>
      <c r="D13" s="58"/>
      <c r="E13" s="58"/>
      <c r="F13" s="61" t="s">
        <v>11</v>
      </c>
      <c r="H13" s="57" t="s">
        <v>189</v>
      </c>
      <c r="I13" s="58"/>
      <c r="J13" s="58"/>
      <c r="K13" s="58"/>
    </row>
    <row r="14" customFormat="false" ht="15" hidden="false" customHeight="true" outlineLevel="0" collapsed="false"/>
    <row r="15" customFormat="false" ht="15" hidden="false" customHeight="true" outlineLevel="0" collapsed="false">
      <c r="A15" s="56" t="s">
        <v>145</v>
      </c>
      <c r="B15" s="63" t="s">
        <v>190</v>
      </c>
      <c r="C15" s="64" t="s">
        <v>147</v>
      </c>
      <c r="D15" s="65" t="s">
        <v>148</v>
      </c>
      <c r="E15" s="65" t="s">
        <v>149</v>
      </c>
      <c r="F15" s="65" t="s">
        <v>150</v>
      </c>
      <c r="G15" s="65" t="s">
        <v>151</v>
      </c>
      <c r="H15" s="65" t="s">
        <v>152</v>
      </c>
      <c r="I15" s="66" t="s">
        <v>153</v>
      </c>
      <c r="J15" s="67" t="s">
        <v>154</v>
      </c>
      <c r="K15" s="67"/>
    </row>
    <row r="16" customFormat="false" ht="15" hidden="false" customHeight="true" outlineLevel="0" collapsed="false">
      <c r="C16" s="68" t="s">
        <v>155</v>
      </c>
      <c r="D16" s="69"/>
      <c r="E16" s="69"/>
      <c r="F16" s="69"/>
      <c r="G16" s="69"/>
      <c r="H16" s="69"/>
      <c r="I16" s="70"/>
      <c r="J16" s="71" t="s">
        <v>156</v>
      </c>
      <c r="K16" s="72" t="s">
        <v>157</v>
      </c>
    </row>
    <row r="17" customFormat="false" ht="15.75" hidden="false" customHeight="true" outlineLevel="0" collapsed="false">
      <c r="A17" s="73" t="s">
        <v>158</v>
      </c>
      <c r="B17" s="74" t="s">
        <v>159</v>
      </c>
      <c r="C17" s="75"/>
      <c r="D17" s="75"/>
      <c r="E17" s="75"/>
      <c r="F17" s="75"/>
      <c r="G17" s="75"/>
      <c r="H17" s="75"/>
      <c r="I17" s="75"/>
      <c r="J17" s="75"/>
      <c r="K17" s="75"/>
    </row>
    <row r="18" customFormat="false" ht="15.75" hidden="false" customHeight="true" outlineLevel="0" collapsed="false">
      <c r="A18" s="73" t="s">
        <v>158</v>
      </c>
      <c r="B18" s="74" t="s">
        <v>160</v>
      </c>
      <c r="C18" s="75"/>
      <c r="D18" s="75"/>
      <c r="E18" s="75"/>
      <c r="F18" s="75"/>
      <c r="G18" s="75"/>
      <c r="H18" s="75"/>
      <c r="I18" s="75"/>
      <c r="J18" s="75"/>
      <c r="K18" s="75"/>
    </row>
    <row r="19" customFormat="false" ht="15.75" hidden="false" customHeight="true" outlineLevel="0" collapsed="false">
      <c r="A19" s="73" t="s">
        <v>158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</row>
    <row r="20" customFormat="false" ht="15.75" hidden="false" customHeight="true" outlineLevel="0" collapsed="false">
      <c r="A20" s="73" t="s">
        <v>158</v>
      </c>
      <c r="B20" s="75"/>
      <c r="C20" s="75"/>
      <c r="D20" s="75"/>
      <c r="E20" s="75"/>
      <c r="F20" s="75"/>
      <c r="G20" s="75"/>
      <c r="H20" s="75"/>
      <c r="I20" s="75"/>
      <c r="J20" s="75"/>
      <c r="K20" s="75"/>
    </row>
    <row r="21" customFormat="false" ht="15.75" hidden="false" customHeight="true" outlineLevel="0" collapsed="false">
      <c r="A21" s="73" t="s">
        <v>158</v>
      </c>
      <c r="B21" s="75"/>
      <c r="C21" s="75"/>
      <c r="D21" s="75"/>
      <c r="E21" s="75"/>
      <c r="F21" s="75"/>
      <c r="G21" s="75"/>
      <c r="H21" s="75"/>
      <c r="I21" s="75"/>
      <c r="J21" s="75"/>
      <c r="K21" s="75"/>
    </row>
    <row r="22" customFormat="false" ht="15.75" hidden="false" customHeight="true" outlineLevel="0" collapsed="false">
      <c r="A22" s="73" t="s">
        <v>158</v>
      </c>
      <c r="B22" s="75"/>
      <c r="C22" s="75"/>
      <c r="D22" s="75"/>
      <c r="E22" s="75"/>
      <c r="F22" s="75"/>
      <c r="G22" s="75"/>
      <c r="H22" s="75"/>
      <c r="I22" s="75"/>
      <c r="J22" s="75"/>
      <c r="K22" s="75"/>
    </row>
    <row r="23" customFormat="false" ht="15" hidden="false" customHeight="true" outlineLevel="0" collapsed="false">
      <c r="A23" s="76" t="s">
        <v>161</v>
      </c>
      <c r="B23" s="76"/>
      <c r="C23" s="77" t="str">
        <f aca="false">IF(SUM(C17:C22)=0,"-",SUM(C17:C22))</f>
        <v>-</v>
      </c>
      <c r="D23" s="77" t="str">
        <f aca="false">IF(SUM(D17:D22)=0,"-",SUM(D17:D22))</f>
        <v>-</v>
      </c>
      <c r="E23" s="77" t="str">
        <f aca="false">IF(SUM(E17:E22)=0,"-",SUM(E17:E22))</f>
        <v>-</v>
      </c>
      <c r="F23" s="77" t="str">
        <f aca="false">IF(SUM(F17:F22)=0,"-",SUM(F17:F22))</f>
        <v>-</v>
      </c>
      <c r="G23" s="77" t="str">
        <f aca="false">IF(SUM(G17:G22)=0,"-",SUM(G17:G22))</f>
        <v>-</v>
      </c>
      <c r="H23" s="77" t="str">
        <f aca="false">IF(SUM(H17:H22)=0,"-",SUM(H17:H22))</f>
        <v>-</v>
      </c>
      <c r="I23" s="77" t="str">
        <f aca="false">IF(SUM(I17:I22)=0,"-",SUM(I17:I22))</f>
        <v>-</v>
      </c>
      <c r="J23" s="78"/>
      <c r="K23" s="79"/>
    </row>
    <row r="24" customFormat="false" ht="15" hidden="false" customHeight="true" outlineLevel="0" collapsed="false">
      <c r="A24" s="76" t="s">
        <v>162</v>
      </c>
      <c r="B24" s="76"/>
      <c r="C24" s="80" t="n">
        <v>26</v>
      </c>
      <c r="D24" s="80"/>
    </row>
    <row r="25" customFormat="false" ht="15" hidden="false" customHeight="true" outlineLevel="0" collapsed="false">
      <c r="A25" s="61" t="s">
        <v>163</v>
      </c>
    </row>
    <row r="26" customFormat="false" ht="15" hidden="false" customHeight="true" outlineLevel="0" collapsed="false">
      <c r="D26" s="56" t="s">
        <v>164</v>
      </c>
      <c r="I26" s="56" t="s">
        <v>165</v>
      </c>
      <c r="J26" s="56" t="s">
        <v>166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1" t="s">
        <v>167</v>
      </c>
      <c r="B28" s="81" t="s">
        <v>168</v>
      </c>
      <c r="C28" s="81" t="s">
        <v>169</v>
      </c>
      <c r="D28" s="81"/>
      <c r="E28" s="81"/>
      <c r="F28" s="81"/>
      <c r="G28" s="81"/>
      <c r="H28" s="81"/>
      <c r="I28" s="81"/>
      <c r="J28" s="81"/>
      <c r="K28" s="81"/>
    </row>
    <row r="29" customFormat="false" ht="15" hidden="false" customHeight="true" outlineLevel="0" collapsed="false">
      <c r="A29" s="81" t="s">
        <v>191</v>
      </c>
      <c r="B29" s="74" t="s">
        <v>192</v>
      </c>
      <c r="C29" s="82" t="s">
        <v>193</v>
      </c>
      <c r="D29" s="82"/>
      <c r="E29" s="82"/>
      <c r="F29" s="82"/>
      <c r="G29" s="82"/>
      <c r="H29" s="82"/>
      <c r="I29" s="82"/>
      <c r="J29" s="82"/>
      <c r="K29" s="82"/>
    </row>
    <row r="30" customFormat="false" ht="15" hidden="false" customHeight="true" outlineLevel="0" collapsed="false">
      <c r="A30" s="75"/>
      <c r="B30" s="75"/>
      <c r="C30" s="83" t="s">
        <v>194</v>
      </c>
      <c r="D30" s="83"/>
      <c r="E30" s="83"/>
      <c r="F30" s="83"/>
      <c r="G30" s="83"/>
      <c r="H30" s="83"/>
      <c r="I30" s="83"/>
      <c r="J30" s="83"/>
      <c r="K30" s="83"/>
    </row>
    <row r="31" customFormat="false" ht="15" hidden="false" customHeight="true" outlineLevel="0" collapsed="false">
      <c r="A31" s="75"/>
      <c r="B31" s="75"/>
      <c r="C31" s="84"/>
      <c r="D31" s="84"/>
      <c r="E31" s="84"/>
      <c r="F31" s="84"/>
      <c r="G31" s="84"/>
      <c r="H31" s="84"/>
      <c r="I31" s="84"/>
      <c r="J31" s="84"/>
      <c r="K31" s="84"/>
    </row>
    <row r="32" customFormat="false" ht="15" hidden="false" customHeight="true" outlineLevel="0" collapsed="false">
      <c r="A32" s="75"/>
      <c r="B32" s="75"/>
      <c r="C32" s="85" t="s">
        <v>195</v>
      </c>
      <c r="D32" s="85"/>
      <c r="E32" s="85"/>
      <c r="F32" s="85"/>
      <c r="G32" s="85"/>
      <c r="H32" s="85"/>
      <c r="I32" s="85"/>
      <c r="J32" s="85"/>
      <c r="K32" s="85"/>
    </row>
    <row r="33" customFormat="false" ht="15" hidden="false" customHeight="true" outlineLevel="0" collapsed="false">
      <c r="A33" s="75"/>
      <c r="B33" s="75"/>
      <c r="C33" s="84"/>
      <c r="D33" s="84"/>
      <c r="E33" s="84"/>
      <c r="F33" s="84"/>
      <c r="G33" s="84"/>
      <c r="H33" s="84"/>
      <c r="I33" s="84"/>
      <c r="J33" s="84"/>
      <c r="K33" s="84"/>
    </row>
    <row r="34" customFormat="false" ht="15" hidden="false" customHeight="true" outlineLevel="0" collapsed="false">
      <c r="A34" s="75"/>
      <c r="B34" s="75"/>
      <c r="C34" s="84"/>
      <c r="D34" s="84"/>
      <c r="E34" s="84"/>
      <c r="F34" s="84"/>
      <c r="G34" s="84"/>
      <c r="H34" s="84"/>
      <c r="I34" s="84"/>
      <c r="J34" s="84"/>
      <c r="K34" s="84"/>
    </row>
    <row r="35" customFormat="false" ht="15" hidden="false" customHeight="true" outlineLevel="0" collapsed="false">
      <c r="A35" s="75"/>
      <c r="B35" s="75"/>
      <c r="C35" s="84"/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5"/>
      <c r="B36" s="75"/>
      <c r="C36" s="84"/>
      <c r="D36" s="84"/>
      <c r="E36" s="84"/>
      <c r="F36" s="84"/>
      <c r="G36" s="84"/>
      <c r="H36" s="84"/>
      <c r="I36" s="84"/>
      <c r="J36" s="84"/>
      <c r="K36" s="84"/>
    </row>
    <row r="37" customFormat="false" ht="15" hidden="false" customHeight="true" outlineLevel="0" collapsed="false">
      <c r="A37" s="75"/>
      <c r="B37" s="75"/>
      <c r="C37" s="84"/>
      <c r="D37" s="84"/>
      <c r="E37" s="84"/>
      <c r="F37" s="84"/>
      <c r="G37" s="84"/>
      <c r="H37" s="84"/>
      <c r="I37" s="84"/>
      <c r="J37" s="84"/>
      <c r="K37" s="84"/>
    </row>
    <row r="38" customFormat="false" ht="15" hidden="false" customHeight="true" outlineLevel="0" collapsed="false">
      <c r="A38" s="75"/>
      <c r="B38" s="75"/>
      <c r="C38" s="84"/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5"/>
      <c r="B39" s="75"/>
      <c r="C39" s="84"/>
      <c r="D39" s="84"/>
      <c r="E39" s="84"/>
      <c r="F39" s="84"/>
      <c r="G39" s="84"/>
      <c r="H39" s="84"/>
      <c r="I39" s="84"/>
      <c r="J39" s="84"/>
      <c r="K39" s="84"/>
    </row>
    <row r="40" customFormat="false" ht="15" hidden="false" customHeight="true" outlineLevel="0" collapsed="false">
      <c r="A40" s="75"/>
      <c r="B40" s="75"/>
      <c r="C40" s="84"/>
      <c r="D40" s="84"/>
      <c r="E40" s="84"/>
      <c r="F40" s="84"/>
      <c r="G40" s="84"/>
      <c r="H40" s="84"/>
      <c r="I40" s="84"/>
      <c r="J40" s="84"/>
      <c r="K40" s="84"/>
    </row>
    <row r="41" customFormat="false" ht="15" hidden="false" customHeight="true" outlineLevel="0" collapsed="false">
      <c r="A41" s="75"/>
      <c r="B41" s="75"/>
      <c r="C41" s="84"/>
      <c r="D41" s="84"/>
      <c r="E41" s="84"/>
      <c r="F41" s="84"/>
      <c r="G41" s="84"/>
      <c r="H41" s="84"/>
      <c r="I41" s="84"/>
      <c r="J41" s="84"/>
      <c r="K41" s="84"/>
    </row>
    <row r="42" customFormat="false" ht="15" hidden="false" customHeight="true" outlineLevel="0" collapsed="false">
      <c r="A42" s="75"/>
      <c r="B42" s="75"/>
      <c r="C42" s="84"/>
      <c r="D42" s="84"/>
      <c r="E42" s="84"/>
      <c r="F42" s="84"/>
      <c r="G42" s="84"/>
      <c r="H42" s="84"/>
      <c r="I42" s="84"/>
      <c r="J42" s="84"/>
      <c r="K42" s="84"/>
    </row>
    <row r="43" customFormat="false" ht="15" hidden="false" customHeight="true" outlineLevel="0" collapsed="false">
      <c r="A43" s="75"/>
      <c r="B43" s="75"/>
      <c r="C43" s="84"/>
      <c r="D43" s="84"/>
      <c r="E43" s="84"/>
      <c r="F43" s="84"/>
      <c r="G43" s="84"/>
      <c r="H43" s="84"/>
      <c r="I43" s="84"/>
      <c r="J43" s="84"/>
      <c r="K43" s="84"/>
    </row>
    <row r="44" customFormat="false" ht="15" hidden="false" customHeight="true" outlineLevel="0" collapsed="false">
      <c r="A44" s="75"/>
      <c r="B44" s="75"/>
      <c r="C44" s="86"/>
      <c r="D44" s="86"/>
      <c r="E44" s="86"/>
      <c r="F44" s="86"/>
      <c r="G44" s="86"/>
      <c r="H44" s="86"/>
      <c r="I44" s="86"/>
      <c r="J44" s="86"/>
      <c r="K44" s="86"/>
    </row>
    <row r="45" customFormat="false" ht="15" hidden="false" customHeight="true" outlineLevel="0" collapsed="false"/>
    <row r="46" customFormat="false" ht="15" hidden="false" customHeight="true" outlineLevel="0" collapsed="false">
      <c r="A46" s="56" t="s">
        <v>180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6" t="s">
        <v>181</v>
      </c>
      <c r="D48" s="56" t="s">
        <v>182</v>
      </c>
      <c r="F48" s="58"/>
      <c r="G48" s="58"/>
      <c r="H48" s="58"/>
      <c r="I48" s="58"/>
      <c r="J48" s="58"/>
      <c r="K48" s="58"/>
    </row>
    <row r="49" customFormat="false" ht="15" hidden="false" customHeight="true" outlineLevel="0" collapsed="false">
      <c r="G49" s="59" t="s">
        <v>183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7" t="s">
        <v>184</v>
      </c>
      <c r="B53" s="58"/>
      <c r="D53" s="57" t="s">
        <v>185</v>
      </c>
      <c r="E53" s="58"/>
      <c r="F53" s="58"/>
      <c r="H53" s="58"/>
      <c r="I53" s="58"/>
      <c r="J53" s="58"/>
      <c r="K53" s="58"/>
    </row>
    <row r="54" customFormat="false" ht="15" hidden="false" customHeight="true" outlineLevel="0" collapsed="false">
      <c r="A54" s="59" t="s">
        <v>186</v>
      </c>
      <c r="D54" s="59" t="s">
        <v>187</v>
      </c>
      <c r="H54" s="59" t="s">
        <v>188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2026-10-13T08:14:11Z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