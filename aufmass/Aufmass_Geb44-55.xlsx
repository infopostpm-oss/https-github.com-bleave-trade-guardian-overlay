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55 - Aufmaß 1" sheetId="1" state="visible" r:id="rId3"/>
    <sheet name="Geb 55 - Aufmaß 2" sheetId="2" state="visible" r:id="rId4"/>
    <sheet name="Geb 44 a - Aufmaß 1" sheetId="3" state="visible" r:id="rId5"/>
    <sheet name="Geb 44 a - Aufmaß 2" sheetId="4" state="visible" r:id="rId6"/>
    <sheet name="Geb 44 a - Aufmaß 3" sheetId="5" state="visible" r:id="rId7"/>
  </sheets>
  <definedNames>
    <definedName function="false" hidden="false" localSheetId="2" name="_xlnm.Print_Area" vbProcedure="false">'Geb 44 a - Aufmaß 1'!$A$1:$BA$38</definedName>
    <definedName function="false" hidden="false" localSheetId="3" name="_xlnm.Print_Area" vbProcedure="false">'Geb 44 a - Aufmaß 2'!$A$1:$BA$38</definedName>
    <definedName function="false" hidden="false" localSheetId="4" name="_xlnm.Print_Area" vbProcedure="false">'Geb 44 a - Aufmaß 3'!$A$1:$BA$38</definedName>
    <definedName function="false" hidden="false" localSheetId="0" name="_xlnm.Print_Area" vbProcedure="false">'Geb 55 - Aufmaß 1'!$A$1:$BA$30</definedName>
    <definedName function="false" hidden="false" localSheetId="1" name="_xlnm.Print_Area" vbProcedure="false">'Geb 55 - Aufmaß 2'!$A$1:$BA$30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<sst xmlns="http://schemas.openxmlformats.org/spreadsheetml/2006/main" count="438" uniqueCount="135">
  <si>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</si>
  <si>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</si>
  <si>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</si>
  <si>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</si>
  <si>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</si>
  <si>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</si>
  <si>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</si>
  <si>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</si>
  <si>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Theresien Str. 5 </t>
  </si>
  <si>
    <t xml:space="preserve">Durchschlag (grün)</t>
  </si>
  <si>
    <t xml:space="preserve">für Nachunternehmerrechnung</t>
  </si>
  <si>
    <t xml:space="preserve">Baustelle:</t>
  </si>
  <si>
    <t xml:space="preserve">Werk 034 - Gebäude 55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</si>
  <si>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</si>
  <si>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</si>
  <si>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</si>
  <si>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</si>
  <si>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</si>
  <si>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</si>
  <si>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</si>
  <si>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</si>
  <si>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</si>
  <si>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55 - Sicherheitsbeleuchtung</t>
  </si>
  <si>
    <t xml:space="preserve">Pos. laut Bestellung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</si>
  <si>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</si>
  <si>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</si>
  <si>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</si>
  <si>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</si>
  <si>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</si>
  <si>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</si>
  <si>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</si>
  <si>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</si>
  <si>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.010</t>
  </si>
  <si>
    <t xml:space="preserve">.020</t>
  </si>
  <si>
    <t xml:space="preserve">.060</t>
  </si>
  <si>
    <t xml:space="preserve">.030</t>
  </si>
  <si>
    <t xml:space="preserve">.040</t>
  </si>
  <si>
    <t xml:space="preserve">.070</t>
  </si>
  <si>
    <t xml:space="preserve">.100</t>
  </si>
  <si>
    <t xml:space="preserve">.120</t>
  </si>
  <si>
    <t xml:space="preserve">Art der Leistung
Montage und Kabelverlegung</t>
  </si>
  <si>
    <t xml:space="preserve">NYY-J 3 x
2, 5 mm²
[m]</t>
  </si>
  <si>
    <t xml:space="preserve">NYY-J 5 x
2, 5 mm²
[m]</t>
  </si>
  <si>
    <t xml:space="preserve">J-Y(St)Y 4
x 2 x 0, 8
mm² Bd
[m]</t>
  </si>
  <si>
    <t xml:space="preserve">Bügelschel-
len 1-fach
8-20 mm
[Stck]</t>
  </si>
  <si>
    <t xml:space="preserve">Anschluss
bis 5 x 2,
5 mm²
[Stck]</t>
  </si>
  <si>
    <t xml:space="preserve">Steigetras-
se schwere
Ausführung,
B=200 mm
[m]</t>
  </si>
  <si>
    <t xml:space="preserve">H-Profille-
isen
80x42mm
[m]</t>
  </si>
  <si>
    <t xml:space="preserve">C-Profille-
isen
40x22mm
[m]</t>
  </si>
  <si>
    <t xml:space="preserve">Leuchtentr-
ägerschiene
klein kanal
50-50
[m]</t>
  </si>
  <si>
    <t xml:space="preserve">Festes
Formteil
für
Kabelrinne
60 x 100
mm, inkl.
Verbinder
[St]</t>
  </si>
  <si>
    <t xml:space="preserve">Kunststoff-
panzerrohr
M 25
[m]</t>
  </si>
  <si>
    <t xml:space="preserve">Kunststoff-
panzerrohr
M 40
[m]</t>
  </si>
  <si>
    <t xml:space="preserve">Leitungsfü-
hrungskana-
l, Außenmaß
HxB bis 20
x 33 mm
[m]</t>
  </si>
  <si>
    <t xml:space="preserve">FR-AP-Abzw-
eigkasten
2, 5 bis 4
mm IP 54
rot
[Stck]</t>
  </si>
  <si>
    <t xml:space="preserve">dezentrales
Notlicht-V-
ersorgungs-
gerät,
1.600m², 24
Ah, IP54
[St]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</si>
  <si>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</si>
  <si>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</si>
  <si>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</si>
  <si>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</si>
  <si>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</si>
  <si>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</si>
  <si>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</si>
  <si>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</si>
  <si>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</si>
  <si>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</si>
  <si>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</si>
  <si>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</si>
  <si>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</si>
  <si>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</si>
  <si>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</si>
  <si>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</si>
  <si>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13.10.2026</t>
  </si>
  <si>
    <t xml:space="preserve">Firma/Auftraggeber</t>
  </si>
  <si>
    <t xml:space="preserve">Auftragnehmer</t>
  </si>
  <si>
    <t xml:space="preserve">Datum der Aufmaßerstellung</t>
  </si>
  <si>
    <t xml:space="preserve">2.03.02.</t>
  </si>
  <si>
    <t xml:space="preserve">.080</t>
  </si>
  <si>
    <t xml:space="preserve">.090</t>
  </si>
  <si>
    <t xml:space="preserve">.110</t>
  </si>
  <si>
    <t xml:space="preserve">.130</t>
  </si>
  <si>
    <t xml:space="preserve">.180</t>
  </si>
  <si>
    <t xml:space="preserve">.190</t>
  </si>
  <si>
    <t xml:space="preserve">Seilabhäng-
ung
Sicherheit-
s-/Rettung-
szeichenle-
uchten
[lfdm]</t>
  </si>
  <si>
    <t xml:space="preserve">Rettungsze-
ichenleuch-
te,
doppelseit-
ig, Seil-
und
Deckenmont-
age, 30 m,
IP66
[St]</t>
  </si>
  <si>
    <t xml:space="preserve">Rettungsze-
ichenleuch-
te,
einseitig,
Wandmontage
30 m , IP66
[St]</t>
  </si>
  <si>
    <t xml:space="preserve">Sicherheit-
sleuchte,
Wand-,
Decken-,
Pendelmont-
age oder
Montage an
Lichtband,
kle..CG05
[St]</t>
  </si>
  <si>
    <t xml:space="preserve">Montageada-
pter zur
Anbringung
der
Sicherheit-
sleuchten
an
vorhandene
Blindlicht-
mo..
[St]</t>
  </si>
  <si>
    <t xml:space="preserve">Kettenaufh-
ängungen
bis 1m
[Stck]</t>
  </si>
  <si>
    <t xml:space="preserve">Kettenaufh-
ängungen
bis 3m
[Stck]</t>
  </si>
  <si>
    <t xml:space="preserve">Kettenaufh-
ängungen
bis 6m
[Stck]</t>
  </si>
  <si>
    <t xml:space="preserve">Sicherheit-
sleuchte
Wandanbaub-
au, sym.,
220 lm,
IP65
[St]</t>
  </si>
  <si>
    <t xml:space="preserve">Dreieckige
Piktogramm-
leuchte
[St]</t>
  </si>
  <si>
    <t xml:space="preserve">Werk 034 - Gebäude 44 a</t>
  </si>
  <si>
    <t xml:space="preserve">Aufmaß - Gebäude 44 a - Sicherheitsbeleuchtung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</si>
  <si>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</si>
  <si>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</si>
  <si>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</si>
  <si>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</si>
  <si>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</si>
  <si>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.050</t>
  </si>
  <si>
    <t xml:space="preserve">Steigetras-
se schwere
Ausführung,
B=400 mm
[m]</t>
  </si>
  <si>
    <t xml:space="preserve">Profilstah-
l,
feuerverzi-
nkt (kg)
[kg]</t>
  </si>
  <si>
    <t xml:space="preserve">U-Profille-
isen
60x40mm
[m]</t>
  </si>
  <si>
    <t xml:space="preserve">C-Profille-
isen
40x40mm
[m]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</si>
  <si>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</si>
  <si>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</si>
  <si>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</si>
  <si>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</si>
  <si>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</si>
  <si>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</si>
  <si>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</si>
  <si>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</si>
  <si>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</si>
  <si>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</si>
  <si>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</si>
  <si>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</si>
  <si>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</si>
  <si>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</si>
  <si>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.140</t>
  </si>
  <si>
    <t xml:space="preserve">Pendelabhä-
ngunggssatz
0, 5 m für
Flexitec
[St]</t>
  </si>
  <si>
    <t xml:space="preserve">Kabel bis 5
x 2, 5 mm²
[m]</t>
  </si>
  <si>
    <t xml:space="preserve">Piktogramm-
leuchte
(Notleucht-
en)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</si>
  <si>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</si>
  <si>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</si>
  <si>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</si>
  <si>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</si>
  <si>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</si>
  <si>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Sicherheit-
sleuchte
[Stck]</t>
  </si>
  <si>
    <t xml:space="preserve">Rohre M20
bis M32
[m]</t>
  </si>
  <si>
    <t xml:space="preserve">Rohre M40
bis M63
[m]</t>
  </si>
  <si>
    <t xml:space="preserve">Abklemmen
von
Anschlüssen
2 x1, 5 mm²
bis 7 x 2,
5 mm²
[Stck]</t>
  </si>
  <si>
    <t xml:space="preserve">Abzweigdose
bzw.
Abzweigkas-
ten
[Stck]</t>
  </si>
  <si>
    <t xml:space="preserve">Leitungs-/-
Kabelnachv-
erfolgung
[lfdm]</t>
  </si>
  <si>
    <t xml:space="preserve">Öffnen/Sch-
liessen von
abgehängten
Decken
[Stck]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</si>
</sst>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</numFmts>
  <fonts count="2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6.5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24</v>
      </c>
      <c r="I9" s="20"/>
      <c r="J9" s="20"/>
      <c r="K9" s="20" t="s">
        <v>24</v>
      </c>
      <c r="L9" s="20"/>
      <c r="M9" s="20"/>
      <c r="N9" s="20" t="s">
        <v>24</v>
      </c>
      <c r="O9" s="20"/>
      <c r="P9" s="20"/>
      <c r="Q9" s="20" t="s">
        <v>25</v>
      </c>
      <c r="R9" s="20"/>
      <c r="S9" s="20"/>
      <c r="T9" s="20" t="s">
        <v>26</v>
      </c>
      <c r="U9" s="20"/>
      <c r="V9" s="20"/>
      <c r="W9" s="20" t="s">
        <v>27</v>
      </c>
      <c r="X9" s="20"/>
      <c r="Y9" s="20"/>
      <c r="Z9" s="20" t="s">
        <v>27</v>
      </c>
      <c r="AA9" s="20"/>
      <c r="AB9" s="20"/>
      <c r="AC9" s="20" t="s">
        <v>27</v>
      </c>
      <c r="AD9" s="20"/>
      <c r="AE9" s="20"/>
      <c r="AF9" s="20" t="s">
        <v>27</v>
      </c>
      <c r="AG9" s="20"/>
      <c r="AH9" s="20"/>
      <c r="AI9" s="20" t="s">
        <v>27</v>
      </c>
      <c r="AJ9" s="20"/>
      <c r="AK9" s="20"/>
      <c r="AL9" s="20" t="s">
        <v>28</v>
      </c>
      <c r="AM9" s="20"/>
      <c r="AN9" s="20"/>
      <c r="AO9" s="20" t="s">
        <v>28</v>
      </c>
      <c r="AP9" s="20"/>
      <c r="AQ9" s="20"/>
      <c r="AR9" s="20" t="s">
        <v>29</v>
      </c>
      <c r="AS9" s="20"/>
      <c r="AT9" s="20"/>
      <c r="AU9" s="20" t="s">
        <v>30</v>
      </c>
      <c r="AV9" s="20"/>
      <c r="AW9" s="20"/>
      <c r="AX9" s="20" t="s">
        <v>31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32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35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36</v>
      </c>
      <c r="AA10" s="24"/>
      <c r="AB10" s="24"/>
      <c r="AC10" s="24" t="s">
        <v>37</v>
      </c>
      <c r="AD10" s="24"/>
      <c r="AE10" s="24"/>
      <c r="AF10" s="24" t="s">
        <v>38</v>
      </c>
      <c r="AG10" s="24"/>
      <c r="AH10" s="24"/>
      <c r="AI10" s="24" t="s">
        <v>39</v>
      </c>
      <c r="AJ10" s="24"/>
      <c r="AK10" s="24"/>
      <c r="AL10" s="24" t="s">
        <v>32</v>
      </c>
      <c r="AM10" s="24"/>
      <c r="AN10" s="24"/>
      <c r="AO10" s="24" t="s">
        <v>35</v>
      </c>
      <c r="AP10" s="24"/>
      <c r="AQ10" s="24"/>
      <c r="AR10" s="24" t="s">
        <v>32</v>
      </c>
      <c r="AS10" s="24"/>
      <c r="AT10" s="24"/>
      <c r="AU10" s="24" t="s">
        <v>33</v>
      </c>
      <c r="AV10" s="24"/>
      <c r="AW10" s="24"/>
      <c r="AX10" s="24" t="s">
        <v>33</v>
      </c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41</v>
      </c>
      <c r="I11" s="25"/>
      <c r="J11" s="25"/>
      <c r="K11" s="25" t="s">
        <v>42</v>
      </c>
      <c r="L11" s="25"/>
      <c r="M11" s="25"/>
      <c r="N11" s="25" t="s">
        <v>43</v>
      </c>
      <c r="O11" s="25"/>
      <c r="P11" s="25"/>
      <c r="Q11" s="25" t="s">
        <v>44</v>
      </c>
      <c r="R11" s="25"/>
      <c r="S11" s="25"/>
      <c r="T11" s="25" t="s">
        <v>45</v>
      </c>
      <c r="U11" s="25"/>
      <c r="V11" s="25"/>
      <c r="W11" s="25" t="s">
        <v>46</v>
      </c>
      <c r="X11" s="25"/>
      <c r="Y11" s="25"/>
      <c r="Z11" s="25" t="s">
        <v>47</v>
      </c>
      <c r="AA11" s="25"/>
      <c r="AB11" s="25"/>
      <c r="AC11" s="25" t="s">
        <v>48</v>
      </c>
      <c r="AD11" s="25"/>
      <c r="AE11" s="25"/>
      <c r="AF11" s="25" t="s">
        <v>49</v>
      </c>
      <c r="AG11" s="25"/>
      <c r="AH11" s="25"/>
      <c r="AI11" s="25" t="s">
        <v>50</v>
      </c>
      <c r="AJ11" s="25"/>
      <c r="AK11" s="25"/>
      <c r="AL11" s="25" t="s">
        <v>51</v>
      </c>
      <c r="AM11" s="25"/>
      <c r="AN11" s="25"/>
      <c r="AO11" s="25" t="s">
        <v>52</v>
      </c>
      <c r="AP11" s="25"/>
      <c r="AQ11" s="25"/>
      <c r="AR11" s="25" t="s">
        <v>53</v>
      </c>
      <c r="AS11" s="25"/>
      <c r="AT11" s="25"/>
      <c r="AU11" s="25" t="s">
        <v>54</v>
      </c>
      <c r="AV11" s="25"/>
      <c r="AW11" s="25"/>
      <c r="AX11" s="25" t="s">
        <v>55</v>
      </c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21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21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350</v>
      </c>
      <c r="I16" s="29"/>
      <c r="J16" s="29"/>
      <c r="K16" s="29" t="n">
        <v>10</v>
      </c>
      <c r="L16" s="29"/>
      <c r="M16" s="29"/>
      <c r="N16" s="29" t="n">
        <v>25</v>
      </c>
      <c r="O16" s="29"/>
      <c r="P16" s="29"/>
      <c r="Q16" s="29" t="n">
        <v>20</v>
      </c>
      <c r="R16" s="29"/>
      <c r="S16" s="29"/>
      <c r="T16" s="29" t="n">
        <v>10</v>
      </c>
      <c r="U16" s="29"/>
      <c r="V16" s="29"/>
      <c r="W16" s="29" t="n">
        <v>2</v>
      </c>
      <c r="X16" s="29"/>
      <c r="Y16" s="29"/>
      <c r="Z16" s="29"/>
      <c r="AA16" s="29"/>
      <c r="AB16" s="29"/>
      <c r="AC16" s="29" t="n">
        <v>2</v>
      </c>
      <c r="AD16" s="29"/>
      <c r="AE16" s="29"/>
      <c r="AF16" s="29" t="n">
        <v>47</v>
      </c>
      <c r="AG16" s="29"/>
      <c r="AH16" s="29"/>
      <c r="AI16" s="29" t="n">
        <v>3</v>
      </c>
      <c r="AJ16" s="29"/>
      <c r="AK16" s="29"/>
      <c r="AL16" s="29" t="n">
        <v>6</v>
      </c>
      <c r="AM16" s="29"/>
      <c r="AN16" s="29"/>
      <c r="AO16" s="29" t="n">
        <v>8</v>
      </c>
      <c r="AP16" s="29"/>
      <c r="AQ16" s="29"/>
      <c r="AR16" s="29"/>
      <c r="AS16" s="29"/>
      <c r="AT16" s="29"/>
      <c r="AU16" s="29" t="n">
        <v>2</v>
      </c>
      <c r="AV16" s="29"/>
      <c r="AW16" s="29"/>
      <c r="AX16" s="29" t="n">
        <v>1</v>
      </c>
      <c r="AY16" s="29"/>
      <c r="AZ16" s="29"/>
    </row>
    <row r="17" customFormat="false" ht="21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285</v>
      </c>
      <c r="I17" s="29"/>
      <c r="J17" s="29"/>
      <c r="K17" s="29" t="n">
        <v>30</v>
      </c>
      <c r="L17" s="29"/>
      <c r="M17" s="29"/>
      <c r="N17" s="29" t="n">
        <v>98</v>
      </c>
      <c r="O17" s="29"/>
      <c r="P17" s="29"/>
      <c r="Q17" s="29" t="n">
        <v>20</v>
      </c>
      <c r="R17" s="29"/>
      <c r="S17" s="29"/>
      <c r="T17" s="29" t="n">
        <v>8</v>
      </c>
      <c r="U17" s="29"/>
      <c r="V17" s="29"/>
      <c r="W17" s="29" t="n">
        <v>2</v>
      </c>
      <c r="X17" s="29"/>
      <c r="Y17" s="29"/>
      <c r="Z17" s="29"/>
      <c r="AA17" s="29"/>
      <c r="AB17" s="29"/>
      <c r="AC17" s="29" t="n">
        <v>2</v>
      </c>
      <c r="AD17" s="29"/>
      <c r="AE17" s="29"/>
      <c r="AF17" s="29" t="n">
        <v>72</v>
      </c>
      <c r="AG17" s="29"/>
      <c r="AH17" s="29"/>
      <c r="AI17" s="29" t="n">
        <v>7</v>
      </c>
      <c r="AJ17" s="29"/>
      <c r="AK17" s="29"/>
      <c r="AL17" s="29" t="n">
        <v>3</v>
      </c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 t="n">
        <v>1</v>
      </c>
      <c r="AY17" s="29"/>
      <c r="AZ17" s="29"/>
    </row>
    <row r="18" customFormat="false" ht="21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330</v>
      </c>
      <c r="I18" s="29"/>
      <c r="J18" s="29"/>
      <c r="K18" s="29"/>
      <c r="L18" s="29"/>
      <c r="M18" s="29"/>
      <c r="N18" s="29" t="n">
        <v>70</v>
      </c>
      <c r="O18" s="29"/>
      <c r="P18" s="29"/>
      <c r="Q18" s="29" t="n">
        <v>32</v>
      </c>
      <c r="R18" s="29"/>
      <c r="S18" s="29"/>
      <c r="T18" s="29" t="n">
        <v>14</v>
      </c>
      <c r="U18" s="29"/>
      <c r="V18" s="29"/>
      <c r="W18" s="29" t="n">
        <v>3</v>
      </c>
      <c r="X18" s="29"/>
      <c r="Y18" s="29"/>
      <c r="Z18" s="29" t="n">
        <v>1</v>
      </c>
      <c r="AA18" s="29"/>
      <c r="AB18" s="29"/>
      <c r="AC18" s="29" t="n">
        <v>2</v>
      </c>
      <c r="AD18" s="29"/>
      <c r="AE18" s="29"/>
      <c r="AF18" s="29" t="n">
        <v>28</v>
      </c>
      <c r="AG18" s="29"/>
      <c r="AH18" s="29"/>
      <c r="AI18" s="29" t="n">
        <v>2</v>
      </c>
      <c r="AJ18" s="29"/>
      <c r="AK18" s="29"/>
      <c r="AL18" s="29" t="n">
        <v>20</v>
      </c>
      <c r="AM18" s="29"/>
      <c r="AN18" s="29"/>
      <c r="AO18" s="29"/>
      <c r="AP18" s="29"/>
      <c r="AQ18" s="29"/>
      <c r="AR18" s="29"/>
      <c r="AS18" s="29"/>
      <c r="AT18" s="29"/>
      <c r="AU18" s="29" t="n">
        <v>2</v>
      </c>
      <c r="AV18" s="29"/>
      <c r="AW18" s="29"/>
      <c r="AX18" s="29" t="n">
        <v>1</v>
      </c>
      <c r="AY18" s="29"/>
      <c r="AZ18" s="29"/>
    </row>
    <row r="19" customFormat="false" ht="21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550</v>
      </c>
      <c r="I19" s="29"/>
      <c r="J19" s="29"/>
      <c r="K19" s="29" t="n">
        <v>25</v>
      </c>
      <c r="L19" s="29"/>
      <c r="M19" s="29"/>
      <c r="N19" s="29" t="n">
        <v>38</v>
      </c>
      <c r="O19" s="29"/>
      <c r="P19" s="29"/>
      <c r="Q19" s="29" t="n">
        <v>8</v>
      </c>
      <c r="R19" s="29"/>
      <c r="S19" s="29"/>
      <c r="T19" s="29" t="n">
        <v>34</v>
      </c>
      <c r="U19" s="29"/>
      <c r="V19" s="29"/>
      <c r="W19" s="29" t="n">
        <v>2</v>
      </c>
      <c r="X19" s="29"/>
      <c r="Y19" s="29"/>
      <c r="Z19" s="29"/>
      <c r="AA19" s="29"/>
      <c r="AB19" s="29"/>
      <c r="AC19" s="29" t="n">
        <v>2</v>
      </c>
      <c r="AD19" s="29"/>
      <c r="AE19" s="29"/>
      <c r="AF19" s="29" t="n">
        <v>15</v>
      </c>
      <c r="AG19" s="29"/>
      <c r="AH19" s="29"/>
      <c r="AI19" s="29"/>
      <c r="AJ19" s="29"/>
      <c r="AK19" s="29"/>
      <c r="AL19" s="29" t="n">
        <v>130</v>
      </c>
      <c r="AM19" s="29"/>
      <c r="AN19" s="29"/>
      <c r="AO19" s="29" t="n">
        <v>29</v>
      </c>
      <c r="AP19" s="29"/>
      <c r="AQ19" s="29"/>
      <c r="AR19" s="29" t="n">
        <v>30</v>
      </c>
      <c r="AS19" s="29"/>
      <c r="AT19" s="29"/>
      <c r="AU19" s="29" t="n">
        <v>3</v>
      </c>
      <c r="AV19" s="29"/>
      <c r="AW19" s="29"/>
      <c r="AX19" s="29" t="n">
        <v>1</v>
      </c>
      <c r="AY19" s="29"/>
      <c r="AZ19" s="29"/>
    </row>
    <row r="20" customFormat="false" ht="21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420</v>
      </c>
      <c r="I20" s="29"/>
      <c r="J20" s="29"/>
      <c r="K20" s="29" t="n">
        <v>36</v>
      </c>
      <c r="L20" s="29"/>
      <c r="M20" s="29"/>
      <c r="N20" s="29"/>
      <c r="O20" s="29"/>
      <c r="P20" s="29"/>
      <c r="Q20" s="29"/>
      <c r="R20" s="29"/>
      <c r="S20" s="29"/>
      <c r="T20" s="29" t="n">
        <v>26</v>
      </c>
      <c r="U20" s="29"/>
      <c r="V20" s="29"/>
      <c r="W20" s="29" t="n">
        <v>2</v>
      </c>
      <c r="X20" s="29"/>
      <c r="Y20" s="29"/>
      <c r="Z20" s="29" t="n">
        <v>1</v>
      </c>
      <c r="AA20" s="29"/>
      <c r="AB20" s="29"/>
      <c r="AC20" s="29" t="n">
        <v>2</v>
      </c>
      <c r="AD20" s="29"/>
      <c r="AE20" s="29"/>
      <c r="AF20" s="29" t="n">
        <v>12</v>
      </c>
      <c r="AG20" s="29"/>
      <c r="AH20" s="29"/>
      <c r="AI20" s="29"/>
      <c r="AJ20" s="29"/>
      <c r="AK20" s="29"/>
      <c r="AL20" s="29" t="n">
        <v>45</v>
      </c>
      <c r="AM20" s="29"/>
      <c r="AN20" s="29"/>
      <c r="AO20" s="29" t="n">
        <v>24</v>
      </c>
      <c r="AP20" s="29"/>
      <c r="AQ20" s="29"/>
      <c r="AR20" s="29"/>
      <c r="AS20" s="29"/>
      <c r="AT20" s="29"/>
      <c r="AU20" s="29" t="n">
        <v>6</v>
      </c>
      <c r="AV20" s="29"/>
      <c r="AW20" s="29"/>
      <c r="AX20" s="29" t="n">
        <v>1</v>
      </c>
      <c r="AY20" s="29"/>
      <c r="AZ20" s="29"/>
    </row>
    <row r="21" customFormat="false" ht="21" hidden="false" customHeight="true" outlineLevel="0" collapsed="false">
      <c r="A21" s="28"/>
      <c r="B21" s="28"/>
      <c r="C21" s="28"/>
      <c r="D21" s="28"/>
      <c r="E21" s="28"/>
      <c r="F21" s="28"/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8.7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29" t="n">
        <f aca="false">SUM(H15:J21)</f>
        <v>1935</v>
      </c>
      <c r="I22" s="29"/>
      <c r="J22" s="29"/>
      <c r="K22" s="29" t="n">
        <f aca="false">SUM(K15:M21)</f>
        <v>101</v>
      </c>
      <c r="L22" s="29"/>
      <c r="M22" s="29"/>
      <c r="N22" s="29" t="n">
        <f aca="false">SUM(N15:P21)</f>
        <v>231</v>
      </c>
      <c r="O22" s="29"/>
      <c r="P22" s="29"/>
      <c r="Q22" s="29" t="n">
        <f aca="false">SUM(Q15:S21)</f>
        <v>80</v>
      </c>
      <c r="R22" s="29"/>
      <c r="S22" s="29"/>
      <c r="T22" s="29" t="n">
        <f aca="false">SUM(T15:V21)</f>
        <v>92</v>
      </c>
      <c r="U22" s="29"/>
      <c r="V22" s="29"/>
      <c r="W22" s="29" t="n">
        <f aca="false">SUM(W15:Y21)</f>
        <v>11</v>
      </c>
      <c r="X22" s="29"/>
      <c r="Y22" s="29"/>
      <c r="Z22" s="29" t="n">
        <f aca="false">SUM(Z15:AB21)</f>
        <v>2</v>
      </c>
      <c r="AA22" s="29"/>
      <c r="AB22" s="29"/>
      <c r="AC22" s="29" t="n">
        <f aca="false">SUM(AC15:AE21)</f>
        <v>10</v>
      </c>
      <c r="AD22" s="29"/>
      <c r="AE22" s="29"/>
      <c r="AF22" s="29" t="n">
        <f aca="false">SUM(AF15:AH21)</f>
        <v>174</v>
      </c>
      <c r="AG22" s="29"/>
      <c r="AH22" s="29"/>
      <c r="AI22" s="29" t="n">
        <f aca="false">SUM(AI15:AK21)</f>
        <v>12</v>
      </c>
      <c r="AJ22" s="29"/>
      <c r="AK22" s="29"/>
      <c r="AL22" s="29" t="n">
        <f aca="false">SUM(AL15:AN21)</f>
        <v>204</v>
      </c>
      <c r="AM22" s="29"/>
      <c r="AN22" s="29"/>
      <c r="AO22" s="29" t="n">
        <f aca="false">SUM(AO15:AQ21)</f>
        <v>61</v>
      </c>
      <c r="AP22" s="29"/>
      <c r="AQ22" s="29"/>
      <c r="AR22" s="29" t="n">
        <f aca="false">SUM(AR15:AT21)</f>
        <v>30</v>
      </c>
      <c r="AS22" s="29"/>
      <c r="AT22" s="29"/>
      <c r="AU22" s="29" t="n">
        <f aca="false">SUM(AU15:AW21)</f>
        <v>13</v>
      </c>
      <c r="AV22" s="29"/>
      <c r="AW22" s="29"/>
      <c r="AX22" s="29" t="n">
        <f aca="false">SUM(AX15:AZ21)</f>
        <v>5</v>
      </c>
      <c r="AY22" s="29"/>
      <c r="AZ22" s="29"/>
    </row>
    <row r="23" customFormat="false" ht="18.75" hidden="false" customHeight="true" outlineLevel="0" collapsed="false">
      <c r="A23" s="31" t="s">
        <v>62</v>
      </c>
      <c r="B23" s="31"/>
      <c r="C23" s="31"/>
      <c r="D23" s="31"/>
      <c r="E23" s="31"/>
      <c r="F23" s="31"/>
      <c r="G23" s="31"/>
      <c r="H23" s="32" t="n">
        <v>1.773</v>
      </c>
      <c r="I23" s="32"/>
      <c r="J23" s="32"/>
      <c r="K23" s="32" t="n">
        <v>1.773</v>
      </c>
      <c r="L23" s="32"/>
      <c r="M23" s="32"/>
      <c r="N23" s="32" t="n">
        <v>1.395</v>
      </c>
      <c r="O23" s="32"/>
      <c r="P23" s="32"/>
      <c r="Q23" s="32" t="n">
        <v>0.9</v>
      </c>
      <c r="R23" s="32"/>
      <c r="S23" s="32"/>
      <c r="T23" s="32" t="n">
        <v>12.006</v>
      </c>
      <c r="U23" s="32"/>
      <c r="V23" s="32"/>
      <c r="W23" s="32" t="n">
        <v>81.4663928571429</v>
      </c>
      <c r="X23" s="32"/>
      <c r="Y23" s="32"/>
      <c r="Z23" s="32" t="n">
        <v>34.0842857142857</v>
      </c>
      <c r="AA23" s="32"/>
      <c r="AB23" s="32"/>
      <c r="AC23" s="32" t="n">
        <v>22.4424642857143</v>
      </c>
      <c r="AD23" s="32"/>
      <c r="AE23" s="32"/>
      <c r="AF23" s="32" t="n">
        <v>0.166499999999999</v>
      </c>
      <c r="AG23" s="32"/>
      <c r="AH23" s="32"/>
      <c r="AI23" s="32" t="n">
        <v>18.0951428571429</v>
      </c>
      <c r="AJ23" s="32"/>
      <c r="AK23" s="32"/>
      <c r="AL23" s="32" t="n">
        <v>4.95</v>
      </c>
      <c r="AM23" s="32"/>
      <c r="AN23" s="32"/>
      <c r="AO23" s="32" t="n">
        <v>5.283</v>
      </c>
      <c r="AP23" s="32"/>
      <c r="AQ23" s="32"/>
      <c r="AR23" s="32" t="n">
        <v>4.203</v>
      </c>
      <c r="AS23" s="32"/>
      <c r="AT23" s="32"/>
      <c r="AU23" s="32" t="n">
        <v>7.2</v>
      </c>
      <c r="AV23" s="32"/>
      <c r="AW23" s="32"/>
      <c r="AX23" s="32" t="n">
        <v>164.484</v>
      </c>
      <c r="AY23" s="32"/>
      <c r="AZ23" s="32"/>
    </row>
    <row r="24" customFormat="false" ht="18.75" hidden="false" customHeight="true" outlineLevel="0" collapsed="false">
      <c r="A24" s="33" t="s">
        <v>63</v>
      </c>
      <c r="B24" s="33"/>
      <c r="C24" s="33"/>
      <c r="D24" s="33"/>
      <c r="E24" s="33"/>
      <c r="F24" s="33"/>
      <c r="G24" s="33"/>
      <c r="H24" s="34" t="n">
        <f aca="false">H22*H23</f>
        <v>3430.755</v>
      </c>
      <c r="I24" s="34"/>
      <c r="J24" s="34"/>
      <c r="K24" s="34" t="n">
        <f aca="false">K22*K23</f>
        <v>179.073</v>
      </c>
      <c r="L24" s="34"/>
      <c r="M24" s="34"/>
      <c r="N24" s="34" t="n">
        <f aca="false">N22*N23</f>
        <v>322.245</v>
      </c>
      <c r="O24" s="34"/>
      <c r="P24" s="34"/>
      <c r="Q24" s="34" t="n">
        <f aca="false">Q22*Q23</f>
        <v>72</v>
      </c>
      <c r="R24" s="34"/>
      <c r="S24" s="34"/>
      <c r="T24" s="34" t="n">
        <f aca="false">T22*T23</f>
        <v>1104.552</v>
      </c>
      <c r="U24" s="34"/>
      <c r="V24" s="34"/>
      <c r="W24" s="34" t="n">
        <f aca="false">W22*W23</f>
        <v>896.130321428571</v>
      </c>
      <c r="X24" s="34"/>
      <c r="Y24" s="34"/>
      <c r="Z24" s="34" t="n">
        <f aca="false">Z22*Z23</f>
        <v>68.1685714285714</v>
      </c>
      <c r="AA24" s="34"/>
      <c r="AB24" s="34"/>
      <c r="AC24" s="34" t="n">
        <f aca="false">AC22*AC23</f>
        <v>224.424642857143</v>
      </c>
      <c r="AD24" s="34"/>
      <c r="AE24" s="34"/>
      <c r="AF24" s="34" t="n">
        <f aca="false">AF22*AF23</f>
        <v>28.9709999999998</v>
      </c>
      <c r="AG24" s="34"/>
      <c r="AH24" s="34"/>
      <c r="AI24" s="34" t="n">
        <f aca="false">AI22*AI23</f>
        <v>217.141714285714</v>
      </c>
      <c r="AJ24" s="34"/>
      <c r="AK24" s="34"/>
      <c r="AL24" s="34" t="n">
        <f aca="false">AL22*AL23</f>
        <v>1009.8</v>
      </c>
      <c r="AM24" s="34"/>
      <c r="AN24" s="34"/>
      <c r="AO24" s="34" t="n">
        <f aca="false">AO22*AO23</f>
        <v>322.263</v>
      </c>
      <c r="AP24" s="34"/>
      <c r="AQ24" s="34"/>
      <c r="AR24" s="34" t="n">
        <f aca="false">AR22*AR23</f>
        <v>126.09</v>
      </c>
      <c r="AS24" s="34"/>
      <c r="AT24" s="34"/>
      <c r="AU24" s="34" t="n">
        <f aca="false">AU22*AU23</f>
        <v>93.6</v>
      </c>
      <c r="AV24" s="34"/>
      <c r="AW24" s="34"/>
      <c r="AX24" s="34" t="n">
        <f aca="false">AX22*AX23</f>
        <v>822.42</v>
      </c>
      <c r="AY24" s="34"/>
      <c r="AZ24" s="34"/>
    </row>
    <row r="25" customFormat="false" ht="15.75" hidden="false" customHeight="true" outlineLevel="0" collapsed="false">
      <c r="A25" s="35" t="s">
        <v>64</v>
      </c>
      <c r="B25" s="36"/>
      <c r="C25" s="36"/>
      <c r="D25" s="36"/>
      <c r="E25" s="36"/>
      <c r="F25" s="36"/>
      <c r="G25" s="36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8" t="n">
        <f aca="false">SUM(H24:AZ24)</f>
        <v>8917.63425</v>
      </c>
      <c r="AW25" s="38"/>
      <c r="AX25" s="38"/>
      <c r="AY25" s="38"/>
      <c r="AZ25" s="38"/>
    </row>
    <row r="26" customFormat="false" ht="15.75" hidden="false" customHeight="true" outlineLevel="0" collapsed="false">
      <c r="A26" s="2"/>
      <c r="B26" s="39"/>
      <c r="C26" s="39"/>
      <c r="D26" s="39"/>
      <c r="E26" s="39"/>
      <c r="F26" s="39"/>
      <c r="G26" s="39"/>
      <c r="H26" s="2"/>
      <c r="I26" s="2"/>
      <c r="J26" s="2"/>
      <c r="K26" s="2"/>
      <c r="L26" s="2"/>
      <c r="M26" s="2"/>
      <c r="N26" s="2"/>
      <c r="O26" s="2"/>
      <c r="P26" s="2"/>
      <c r="Q26" s="40"/>
      <c r="R26" s="40"/>
      <c r="S26" s="40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1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8"/>
      <c r="AW26" s="38"/>
      <c r="AX26" s="38"/>
      <c r="AY26" s="38"/>
      <c r="AZ26" s="38"/>
    </row>
    <row r="27" customFormat="false" ht="15.75" hidden="false" customHeight="true" outlineLevel="0" collapsed="false">
      <c r="A27" s="42"/>
      <c r="B27" s="43" t="s">
        <v>65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4" t="s">
        <v>66</v>
      </c>
      <c r="AE27" s="2"/>
      <c r="AF27" s="2"/>
      <c r="AH27" s="41"/>
      <c r="AI27" s="2"/>
      <c r="AJ27" s="2"/>
      <c r="AK27" s="42"/>
      <c r="AL27" s="2" t="s">
        <v>67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1"/>
      <c r="AH28" s="4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4" t="s">
        <v>68</v>
      </c>
      <c r="B29" s="39"/>
      <c r="C29" s="39"/>
      <c r="D29" s="39"/>
      <c r="E29" s="39"/>
      <c r="F29" s="39"/>
      <c r="G29" s="39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69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1"/>
      <c r="AG29" s="41"/>
      <c r="AH29" s="41"/>
      <c r="AI29" s="2"/>
      <c r="AJ29" s="2"/>
      <c r="AK29" s="42" t="s">
        <v>70</v>
      </c>
      <c r="AL29" s="2" t="s">
        <v>71</v>
      </c>
      <c r="AM29" s="2"/>
      <c r="AN29" s="2"/>
      <c r="AO29" s="2"/>
      <c r="AP29" s="2"/>
      <c r="AQ29" s="2"/>
      <c r="AR29" s="2"/>
      <c r="AS29" s="2"/>
      <c r="AT29" s="2"/>
      <c r="AU29" s="45" t="s">
        <v>72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39"/>
      <c r="B30" s="39"/>
      <c r="C30" s="39"/>
      <c r="D30" s="39"/>
      <c r="E30" s="39"/>
      <c r="F30" s="39"/>
      <c r="G30" s="39"/>
      <c r="H30" s="2"/>
      <c r="I30" s="2"/>
      <c r="J30" s="2"/>
      <c r="K30" s="46" t="s">
        <v>73</v>
      </c>
      <c r="L30" s="47"/>
      <c r="M30" s="47"/>
      <c r="N30" s="47"/>
      <c r="O30" s="47"/>
      <c r="P30" s="47"/>
      <c r="Q30" s="47"/>
      <c r="R30" s="47"/>
      <c r="S30" s="47"/>
      <c r="T30" s="47"/>
      <c r="U30" s="46" t="s">
        <v>74</v>
      </c>
      <c r="V30" s="47"/>
      <c r="W30" s="47"/>
      <c r="X30" s="47"/>
      <c r="Y30" s="47"/>
      <c r="Z30" s="47"/>
      <c r="AA30" s="47"/>
      <c r="AB30" s="47"/>
      <c r="AC30" s="47"/>
      <c r="AD30" s="2"/>
      <c r="AE30" s="2"/>
      <c r="AF30" s="41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6" t="s">
        <v>75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39"/>
      <c r="B31" s="39"/>
      <c r="C31" s="39"/>
      <c r="D31" s="39"/>
      <c r="E31" s="39"/>
      <c r="F31" s="39"/>
      <c r="G31" s="39"/>
      <c r="H31" s="2"/>
      <c r="I31" s="2"/>
      <c r="J31" s="2"/>
      <c r="K31" s="2"/>
      <c r="L31" s="2"/>
      <c r="M31" s="2"/>
      <c r="N31" s="2"/>
      <c r="O31" s="2"/>
      <c r="P31" s="2"/>
      <c r="Q31" s="40"/>
      <c r="R31" s="40"/>
      <c r="S31" s="40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1"/>
      <c r="AG31" s="41"/>
      <c r="AH31" s="4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39"/>
      <c r="B32" s="39"/>
      <c r="C32" s="39"/>
      <c r="D32" s="39"/>
      <c r="E32" s="39"/>
      <c r="F32" s="39"/>
      <c r="G32" s="39"/>
      <c r="H32" s="2"/>
      <c r="I32" s="2"/>
      <c r="J32" s="2"/>
      <c r="K32" s="2"/>
      <c r="L32" s="2"/>
      <c r="M32" s="2"/>
      <c r="N32" s="2"/>
      <c r="O32" s="2"/>
      <c r="P32" s="2"/>
      <c r="Q32" s="40"/>
      <c r="R32" s="40"/>
      <c r="S32" s="40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1"/>
      <c r="AG32" s="41"/>
      <c r="AH32" s="4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39"/>
      <c r="B33" s="39"/>
      <c r="C33" s="39"/>
      <c r="D33" s="39"/>
      <c r="E33" s="39"/>
      <c r="F33" s="39"/>
      <c r="G33" s="39"/>
      <c r="H33" s="2"/>
      <c r="I33" s="2"/>
      <c r="J33" s="2"/>
      <c r="K33" s="2"/>
      <c r="L33" s="2"/>
      <c r="M33" s="2"/>
      <c r="N33" s="2"/>
      <c r="O33" s="2"/>
      <c r="P33" s="2"/>
      <c r="Q33" s="40"/>
      <c r="R33" s="40"/>
      <c r="S33" s="40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1"/>
      <c r="AG33" s="41"/>
      <c r="AH33" s="41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39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1"/>
      <c r="AG34" s="41"/>
      <c r="AH34" s="41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39"/>
      <c r="B35" s="39"/>
      <c r="C35" s="39"/>
      <c r="D35" s="39"/>
      <c r="E35" s="39"/>
      <c r="F35" s="39"/>
      <c r="G35" s="39"/>
      <c r="H35" s="2"/>
      <c r="I35" s="2"/>
      <c r="J35" s="2"/>
      <c r="K35" s="2"/>
      <c r="L35" s="2"/>
      <c r="M35" s="2"/>
      <c r="N35" s="2"/>
      <c r="O35" s="2"/>
      <c r="P35" s="2"/>
      <c r="Q35" s="40"/>
      <c r="R35" s="40"/>
      <c r="S35" s="40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1"/>
      <c r="AG35" s="41"/>
      <c r="AH35" s="4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39"/>
      <c r="B36" s="39"/>
      <c r="C36" s="39"/>
      <c r="D36" s="39"/>
      <c r="E36" s="39"/>
      <c r="F36" s="39"/>
      <c r="G36" s="39"/>
      <c r="H36" s="2"/>
      <c r="I36" s="2"/>
      <c r="J36" s="2"/>
      <c r="K36" s="2"/>
      <c r="L36" s="2"/>
      <c r="M36" s="2"/>
      <c r="N36" s="2"/>
      <c r="O36" s="2"/>
      <c r="P36" s="2"/>
      <c r="Q36" s="40"/>
      <c r="R36" s="40"/>
      <c r="S36" s="40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1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39"/>
      <c r="B37" s="39"/>
      <c r="C37" s="39"/>
      <c r="D37" s="39"/>
      <c r="E37" s="39"/>
      <c r="F37" s="39"/>
      <c r="G37" s="39"/>
      <c r="H37" s="2"/>
      <c r="I37" s="2"/>
      <c r="J37" s="2"/>
      <c r="K37" s="2"/>
      <c r="L37" s="2"/>
      <c r="M37" s="2"/>
      <c r="N37" s="2"/>
      <c r="O37" s="2"/>
      <c r="P37" s="2"/>
      <c r="Q37" s="40"/>
      <c r="R37" s="40"/>
      <c r="S37" s="40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1"/>
      <c r="AG37" s="41"/>
      <c r="AH37" s="41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2"/>
      <c r="L38" s="2"/>
      <c r="M38" s="2"/>
      <c r="N38" s="2"/>
      <c r="O38" s="2"/>
      <c r="P38" s="2"/>
      <c r="Q38" s="40"/>
      <c r="R38" s="40"/>
      <c r="S38" s="40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1"/>
      <c r="AG38" s="41"/>
      <c r="AH38" s="41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4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76</v>
      </c>
      <c r="I9" s="20"/>
      <c r="J9" s="20"/>
      <c r="K9" s="20" t="s">
        <v>76</v>
      </c>
      <c r="L9" s="20"/>
      <c r="M9" s="20"/>
      <c r="N9" s="20" t="s">
        <v>76</v>
      </c>
      <c r="O9" s="20"/>
      <c r="P9" s="20"/>
      <c r="Q9" s="20" t="s">
        <v>76</v>
      </c>
      <c r="R9" s="20"/>
      <c r="S9" s="20"/>
      <c r="T9" s="20" t="s">
        <v>76</v>
      </c>
      <c r="U9" s="20"/>
      <c r="V9" s="20"/>
      <c r="W9" s="20" t="s">
        <v>76</v>
      </c>
      <c r="X9" s="20"/>
      <c r="Y9" s="20"/>
      <c r="Z9" s="20" t="s">
        <v>76</v>
      </c>
      <c r="AA9" s="20"/>
      <c r="AB9" s="20"/>
      <c r="AC9" s="20" t="s">
        <v>76</v>
      </c>
      <c r="AD9" s="20"/>
      <c r="AE9" s="20"/>
      <c r="AF9" s="20" t="s">
        <v>76</v>
      </c>
      <c r="AG9" s="20"/>
      <c r="AH9" s="20"/>
      <c r="AI9" s="20" t="s">
        <v>76</v>
      </c>
      <c r="AJ9" s="20"/>
      <c r="AK9" s="20"/>
      <c r="AL9" s="48"/>
      <c r="AM9" s="48"/>
      <c r="AN9" s="48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34</v>
      </c>
      <c r="I10" s="24"/>
      <c r="J10" s="24"/>
      <c r="K10" s="24" t="s">
        <v>37</v>
      </c>
      <c r="L10" s="24"/>
      <c r="M10" s="24"/>
      <c r="N10" s="24" t="s">
        <v>77</v>
      </c>
      <c r="O10" s="24"/>
      <c r="P10" s="24"/>
      <c r="Q10" s="24" t="s">
        <v>78</v>
      </c>
      <c r="R10" s="24"/>
      <c r="S10" s="24"/>
      <c r="T10" s="24" t="s">
        <v>38</v>
      </c>
      <c r="U10" s="24"/>
      <c r="V10" s="24"/>
      <c r="W10" s="24" t="s">
        <v>79</v>
      </c>
      <c r="X10" s="24"/>
      <c r="Y10" s="24"/>
      <c r="Z10" s="24" t="s">
        <v>39</v>
      </c>
      <c r="AA10" s="24"/>
      <c r="AB10" s="24"/>
      <c r="AC10" s="24" t="s">
        <v>80</v>
      </c>
      <c r="AD10" s="24"/>
      <c r="AE10" s="24"/>
      <c r="AF10" s="24" t="s">
        <v>81</v>
      </c>
      <c r="AG10" s="24"/>
      <c r="AH10" s="24"/>
      <c r="AI10" s="24" t="s">
        <v>82</v>
      </c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83</v>
      </c>
      <c r="I11" s="25"/>
      <c r="J11" s="25"/>
      <c r="K11" s="25" t="s">
        <v>84</v>
      </c>
      <c r="L11" s="25"/>
      <c r="M11" s="25"/>
      <c r="N11" s="25" t="s">
        <v>85</v>
      </c>
      <c r="O11" s="25"/>
      <c r="P11" s="25"/>
      <c r="Q11" s="25" t="s">
        <v>86</v>
      </c>
      <c r="R11" s="25"/>
      <c r="S11" s="25"/>
      <c r="T11" s="25" t="s">
        <v>87</v>
      </c>
      <c r="U11" s="25"/>
      <c r="V11" s="25"/>
      <c r="W11" s="25" t="s">
        <v>88</v>
      </c>
      <c r="X11" s="25"/>
      <c r="Y11" s="25"/>
      <c r="Z11" s="25" t="s">
        <v>89</v>
      </c>
      <c r="AA11" s="25"/>
      <c r="AB11" s="25"/>
      <c r="AC11" s="25" t="s">
        <v>90</v>
      </c>
      <c r="AD11" s="25"/>
      <c r="AE11" s="25"/>
      <c r="AF11" s="25" t="s">
        <v>91</v>
      </c>
      <c r="AG11" s="25"/>
      <c r="AH11" s="25"/>
      <c r="AI11" s="25" t="s">
        <v>92</v>
      </c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21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21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1</v>
      </c>
      <c r="I16" s="29"/>
      <c r="J16" s="29"/>
      <c r="K16" s="29" t="n">
        <v>1</v>
      </c>
      <c r="L16" s="29"/>
      <c r="M16" s="29"/>
      <c r="N16" s="29" t="n">
        <v>2</v>
      </c>
      <c r="O16" s="29"/>
      <c r="P16" s="29"/>
      <c r="Q16" s="29" t="n">
        <v>10</v>
      </c>
      <c r="R16" s="29"/>
      <c r="S16" s="29"/>
      <c r="T16" s="29"/>
      <c r="U16" s="29"/>
      <c r="V16" s="29"/>
      <c r="W16" s="29" t="n">
        <v>2</v>
      </c>
      <c r="X16" s="29"/>
      <c r="Y16" s="29"/>
      <c r="Z16" s="29"/>
      <c r="AA16" s="29"/>
      <c r="AB16" s="29"/>
      <c r="AC16" s="29" t="n">
        <v>18</v>
      </c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</row>
    <row r="17" customFormat="false" ht="21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2</v>
      </c>
      <c r="I17" s="29"/>
      <c r="J17" s="29"/>
      <c r="K17" s="29" t="n">
        <v>2</v>
      </c>
      <c r="L17" s="29"/>
      <c r="M17" s="29"/>
      <c r="N17" s="29"/>
      <c r="O17" s="29"/>
      <c r="P17" s="29"/>
      <c r="Q17" s="29" t="n">
        <v>8</v>
      </c>
      <c r="R17" s="29"/>
      <c r="S17" s="29"/>
      <c r="T17" s="29"/>
      <c r="U17" s="29"/>
      <c r="V17" s="29"/>
      <c r="W17" s="29"/>
      <c r="X17" s="29"/>
      <c r="Y17" s="29"/>
      <c r="Z17" s="29" t="n">
        <v>4</v>
      </c>
      <c r="AA17" s="29"/>
      <c r="AB17" s="29"/>
      <c r="AC17" s="29" t="n">
        <v>30</v>
      </c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</row>
    <row r="18" customFormat="false" ht="21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1</v>
      </c>
      <c r="I18" s="29"/>
      <c r="J18" s="29"/>
      <c r="K18" s="29" t="n">
        <v>1</v>
      </c>
      <c r="L18" s="29"/>
      <c r="M18" s="29"/>
      <c r="N18" s="29" t="n">
        <v>2</v>
      </c>
      <c r="O18" s="29"/>
      <c r="P18" s="29"/>
      <c r="Q18" s="29" t="n">
        <v>11</v>
      </c>
      <c r="R18" s="29"/>
      <c r="S18" s="29"/>
      <c r="T18" s="29" t="n">
        <v>7</v>
      </c>
      <c r="U18" s="29"/>
      <c r="V18" s="29"/>
      <c r="W18" s="29"/>
      <c r="X18" s="29"/>
      <c r="Y18" s="29"/>
      <c r="Z18" s="29" t="n">
        <v>2</v>
      </c>
      <c r="AA18" s="29"/>
      <c r="AB18" s="29"/>
      <c r="AC18" s="29" t="n">
        <v>6</v>
      </c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</row>
    <row r="19" customFormat="false" ht="21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2</v>
      </c>
      <c r="I19" s="29"/>
      <c r="J19" s="29"/>
      <c r="K19" s="29" t="n">
        <v>2</v>
      </c>
      <c r="L19" s="29"/>
      <c r="M19" s="29"/>
      <c r="N19" s="29" t="n">
        <v>8</v>
      </c>
      <c r="O19" s="29"/>
      <c r="P19" s="29"/>
      <c r="Q19" s="29" t="n">
        <v>30</v>
      </c>
      <c r="R19" s="29"/>
      <c r="S19" s="29"/>
      <c r="T19" s="29"/>
      <c r="U19" s="29"/>
      <c r="V19" s="29"/>
      <c r="W19" s="29" t="n">
        <v>2</v>
      </c>
      <c r="X19" s="29"/>
      <c r="Y19" s="29"/>
      <c r="Z19" s="29"/>
      <c r="AA19" s="29"/>
      <c r="AB19" s="29"/>
      <c r="AC19" s="29"/>
      <c r="AD19" s="29"/>
      <c r="AE19" s="29"/>
      <c r="AF19" s="29" t="n">
        <v>2</v>
      </c>
      <c r="AG19" s="29"/>
      <c r="AH19" s="29"/>
      <c r="AI19" s="29" t="n">
        <v>2</v>
      </c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</row>
    <row r="20" customFormat="false" ht="21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/>
      <c r="I20" s="29"/>
      <c r="J20" s="29"/>
      <c r="K20" s="29"/>
      <c r="L20" s="29"/>
      <c r="M20" s="29"/>
      <c r="N20" s="29" t="n">
        <v>4</v>
      </c>
      <c r="O20" s="29"/>
      <c r="P20" s="29"/>
      <c r="Q20" s="29" t="n">
        <v>17</v>
      </c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 t="n">
        <v>2</v>
      </c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</row>
    <row r="21" customFormat="false" ht="21" hidden="false" customHeight="true" outlineLevel="0" collapsed="false">
      <c r="A21" s="28"/>
      <c r="B21" s="28"/>
      <c r="C21" s="28"/>
      <c r="D21" s="28"/>
      <c r="E21" s="28"/>
      <c r="F21" s="28"/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8.7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29" t="n">
        <f aca="false">SUM(H15:J21)</f>
        <v>6</v>
      </c>
      <c r="I22" s="29"/>
      <c r="J22" s="29"/>
      <c r="K22" s="29" t="n">
        <f aca="false">SUM(K15:M21)</f>
        <v>6</v>
      </c>
      <c r="L22" s="29"/>
      <c r="M22" s="29"/>
      <c r="N22" s="29" t="n">
        <f aca="false">SUM(N15:P21)</f>
        <v>16</v>
      </c>
      <c r="O22" s="29"/>
      <c r="P22" s="29"/>
      <c r="Q22" s="29" t="n">
        <f aca="false">SUM(Q15:S21)</f>
        <v>76</v>
      </c>
      <c r="R22" s="29"/>
      <c r="S22" s="29"/>
      <c r="T22" s="29" t="n">
        <f aca="false">SUM(T15:V21)</f>
        <v>7</v>
      </c>
      <c r="U22" s="29"/>
      <c r="V22" s="29"/>
      <c r="W22" s="29" t="n">
        <f aca="false">SUM(W15:Y21)</f>
        <v>4</v>
      </c>
      <c r="X22" s="29"/>
      <c r="Y22" s="29"/>
      <c r="Z22" s="29" t="n">
        <f aca="false">SUM(Z15:AB21)</f>
        <v>6</v>
      </c>
      <c r="AA22" s="29"/>
      <c r="AB22" s="29"/>
      <c r="AC22" s="29" t="n">
        <f aca="false">SUM(AC15:AE21)</f>
        <v>54</v>
      </c>
      <c r="AD22" s="29"/>
      <c r="AE22" s="29"/>
      <c r="AF22" s="29" t="n">
        <f aca="false">SUM(AF15:AH21)</f>
        <v>4</v>
      </c>
      <c r="AG22" s="29"/>
      <c r="AH22" s="29"/>
      <c r="AI22" s="29" t="n">
        <f aca="false">SUM(AI15:AK21)</f>
        <v>2</v>
      </c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</row>
    <row r="23" customFormat="false" ht="18.75" hidden="false" customHeight="true" outlineLevel="0" collapsed="false">
      <c r="A23" s="31" t="s">
        <v>62</v>
      </c>
      <c r="B23" s="31"/>
      <c r="C23" s="31"/>
      <c r="D23" s="31"/>
      <c r="E23" s="31"/>
      <c r="F23" s="31"/>
      <c r="G23" s="31"/>
      <c r="H23" s="32" t="n">
        <v>5.4</v>
      </c>
      <c r="I23" s="32"/>
      <c r="J23" s="32"/>
      <c r="K23" s="32" t="n">
        <v>27.018</v>
      </c>
      <c r="L23" s="32"/>
      <c r="M23" s="32"/>
      <c r="N23" s="32" t="n">
        <v>18.009</v>
      </c>
      <c r="O23" s="32"/>
      <c r="P23" s="32"/>
      <c r="Q23" s="32" t="n">
        <v>21.015</v>
      </c>
      <c r="R23" s="32"/>
      <c r="S23" s="32"/>
      <c r="T23" s="32" t="n">
        <v>3.006</v>
      </c>
      <c r="U23" s="32"/>
      <c r="V23" s="32"/>
      <c r="W23" s="32" t="n">
        <v>4.203</v>
      </c>
      <c r="X23" s="32"/>
      <c r="Y23" s="32"/>
      <c r="Z23" s="32" t="n">
        <v>4.806</v>
      </c>
      <c r="AA23" s="32"/>
      <c r="AB23" s="32"/>
      <c r="AC23" s="32" t="n">
        <v>6.606</v>
      </c>
      <c r="AD23" s="32"/>
      <c r="AE23" s="32"/>
      <c r="AF23" s="32" t="n">
        <v>18.009</v>
      </c>
      <c r="AG23" s="32"/>
      <c r="AH23" s="32"/>
      <c r="AI23" s="32" t="n">
        <v>21.015</v>
      </c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</row>
    <row r="24" customFormat="false" ht="18.75" hidden="false" customHeight="true" outlineLevel="0" collapsed="false">
      <c r="A24" s="33" t="s">
        <v>63</v>
      </c>
      <c r="B24" s="33"/>
      <c r="C24" s="33"/>
      <c r="D24" s="33"/>
      <c r="E24" s="33"/>
      <c r="F24" s="33"/>
      <c r="G24" s="33"/>
      <c r="H24" s="34" t="n">
        <f aca="false">H22*H23</f>
        <v>32.4</v>
      </c>
      <c r="I24" s="34"/>
      <c r="J24" s="34"/>
      <c r="K24" s="34" t="n">
        <f aca="false">K22*K23</f>
        <v>162.108</v>
      </c>
      <c r="L24" s="34"/>
      <c r="M24" s="34"/>
      <c r="N24" s="34" t="n">
        <f aca="false">N22*N23</f>
        <v>288.144</v>
      </c>
      <c r="O24" s="34"/>
      <c r="P24" s="34"/>
      <c r="Q24" s="34" t="n">
        <f aca="false">Q22*Q23</f>
        <v>1597.14</v>
      </c>
      <c r="R24" s="34"/>
      <c r="S24" s="34"/>
      <c r="T24" s="34" t="n">
        <f aca="false">T22*T23</f>
        <v>21.042</v>
      </c>
      <c r="U24" s="34"/>
      <c r="V24" s="34"/>
      <c r="W24" s="34" t="n">
        <f aca="false">W22*W23</f>
        <v>16.812</v>
      </c>
      <c r="X24" s="34"/>
      <c r="Y24" s="34"/>
      <c r="Z24" s="34" t="n">
        <f aca="false">Z22*Z23</f>
        <v>28.836</v>
      </c>
      <c r="AA24" s="34"/>
      <c r="AB24" s="34"/>
      <c r="AC24" s="34" t="n">
        <f aca="false">AC22*AC23</f>
        <v>356.724</v>
      </c>
      <c r="AD24" s="34"/>
      <c r="AE24" s="34"/>
      <c r="AF24" s="34" t="n">
        <f aca="false">AF22*AF23</f>
        <v>72.036</v>
      </c>
      <c r="AG24" s="34"/>
      <c r="AH24" s="34"/>
      <c r="AI24" s="34" t="n">
        <f aca="false">AI22*AI23</f>
        <v>42.03</v>
      </c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</row>
    <row r="25" customFormat="false" ht="15.75" hidden="false" customHeight="true" outlineLevel="0" collapsed="false">
      <c r="A25" s="35" t="s">
        <v>64</v>
      </c>
      <c r="B25" s="36"/>
      <c r="C25" s="36"/>
      <c r="D25" s="36"/>
      <c r="E25" s="36"/>
      <c r="F25" s="36"/>
      <c r="G25" s="36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8" t="n">
        <f aca="false">SUM(H24:AZ24)</f>
        <v>2617.272</v>
      </c>
      <c r="AW25" s="38"/>
      <c r="AX25" s="38"/>
      <c r="AY25" s="38"/>
      <c r="AZ25" s="38"/>
    </row>
    <row r="26" customFormat="false" ht="15.75" hidden="false" customHeight="true" outlineLevel="0" collapsed="false">
      <c r="A26" s="2"/>
      <c r="B26" s="39"/>
      <c r="C26" s="39"/>
      <c r="D26" s="39"/>
      <c r="E26" s="39"/>
      <c r="F26" s="39"/>
      <c r="G26" s="39"/>
      <c r="H26" s="2"/>
      <c r="I26" s="2"/>
      <c r="J26" s="2"/>
      <c r="K26" s="2"/>
      <c r="L26" s="2"/>
      <c r="M26" s="2"/>
      <c r="N26" s="2"/>
      <c r="O26" s="2"/>
      <c r="P26" s="2"/>
      <c r="Q26" s="40"/>
      <c r="R26" s="40"/>
      <c r="S26" s="40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1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8"/>
      <c r="AW26" s="38"/>
      <c r="AX26" s="38"/>
      <c r="AY26" s="38"/>
      <c r="AZ26" s="38"/>
    </row>
    <row r="27" customFormat="false" ht="15.75" hidden="false" customHeight="true" outlineLevel="0" collapsed="false">
      <c r="A27" s="42"/>
      <c r="B27" s="43" t="s">
        <v>65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4" t="s">
        <v>66</v>
      </c>
      <c r="AE27" s="2"/>
      <c r="AF27" s="2"/>
      <c r="AH27" s="41"/>
      <c r="AI27" s="2"/>
      <c r="AJ27" s="2"/>
      <c r="AK27" s="42"/>
      <c r="AL27" s="2" t="s">
        <v>67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1"/>
      <c r="AH28" s="4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4" t="s">
        <v>68</v>
      </c>
      <c r="B29" s="39"/>
      <c r="C29" s="39"/>
      <c r="D29" s="39"/>
      <c r="E29" s="39"/>
      <c r="F29" s="39"/>
      <c r="G29" s="39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69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1"/>
      <c r="AG29" s="41"/>
      <c r="AH29" s="41"/>
      <c r="AI29" s="2"/>
      <c r="AJ29" s="2"/>
      <c r="AK29" s="42" t="s">
        <v>70</v>
      </c>
      <c r="AL29" s="2" t="s">
        <v>71</v>
      </c>
      <c r="AM29" s="2"/>
      <c r="AN29" s="2"/>
      <c r="AO29" s="2"/>
      <c r="AP29" s="2"/>
      <c r="AQ29" s="2"/>
      <c r="AR29" s="2"/>
      <c r="AS29" s="2"/>
      <c r="AT29" s="2"/>
      <c r="AU29" s="45" t="s">
        <v>72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39"/>
      <c r="B30" s="39"/>
      <c r="C30" s="39"/>
      <c r="D30" s="39"/>
      <c r="E30" s="39"/>
      <c r="F30" s="39"/>
      <c r="G30" s="39"/>
      <c r="H30" s="2"/>
      <c r="I30" s="2"/>
      <c r="J30" s="2"/>
      <c r="K30" s="46" t="s">
        <v>73</v>
      </c>
      <c r="L30" s="47"/>
      <c r="M30" s="47"/>
      <c r="N30" s="47"/>
      <c r="O30" s="47"/>
      <c r="P30" s="47"/>
      <c r="Q30" s="47"/>
      <c r="R30" s="47"/>
      <c r="S30" s="47"/>
      <c r="T30" s="47"/>
      <c r="U30" s="46" t="s">
        <v>74</v>
      </c>
      <c r="V30" s="47"/>
      <c r="W30" s="47"/>
      <c r="X30" s="47"/>
      <c r="Y30" s="47"/>
      <c r="Z30" s="47"/>
      <c r="AA30" s="47"/>
      <c r="AB30" s="47"/>
      <c r="AC30" s="47"/>
      <c r="AD30" s="2"/>
      <c r="AE30" s="2"/>
      <c r="AF30" s="41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6" t="s">
        <v>75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39"/>
      <c r="B31" s="39"/>
      <c r="C31" s="39"/>
      <c r="D31" s="39"/>
      <c r="E31" s="39"/>
      <c r="F31" s="39"/>
      <c r="G31" s="39"/>
      <c r="H31" s="2"/>
      <c r="I31" s="2"/>
      <c r="J31" s="2"/>
      <c r="K31" s="2"/>
      <c r="L31" s="2"/>
      <c r="M31" s="2"/>
      <c r="N31" s="2"/>
      <c r="O31" s="2"/>
      <c r="P31" s="2"/>
      <c r="Q31" s="40"/>
      <c r="R31" s="40"/>
      <c r="S31" s="40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1"/>
      <c r="AG31" s="41"/>
      <c r="AH31" s="4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39"/>
      <c r="B32" s="39"/>
      <c r="C32" s="39"/>
      <c r="D32" s="39"/>
      <c r="E32" s="39"/>
      <c r="F32" s="39"/>
      <c r="G32" s="39"/>
      <c r="H32" s="2"/>
      <c r="I32" s="2"/>
      <c r="J32" s="2"/>
      <c r="K32" s="2"/>
      <c r="L32" s="2"/>
      <c r="M32" s="2"/>
      <c r="N32" s="2"/>
      <c r="O32" s="2"/>
      <c r="P32" s="2"/>
      <c r="Q32" s="40"/>
      <c r="R32" s="40"/>
      <c r="S32" s="40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1"/>
      <c r="AG32" s="41"/>
      <c r="AH32" s="4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39"/>
      <c r="B33" s="39"/>
      <c r="C33" s="39"/>
      <c r="D33" s="39"/>
      <c r="E33" s="39"/>
      <c r="F33" s="39"/>
      <c r="G33" s="39"/>
      <c r="H33" s="2"/>
      <c r="I33" s="2"/>
      <c r="J33" s="2"/>
      <c r="K33" s="2"/>
      <c r="L33" s="2"/>
      <c r="M33" s="2"/>
      <c r="N33" s="2"/>
      <c r="O33" s="2"/>
      <c r="P33" s="2"/>
      <c r="Q33" s="40"/>
      <c r="R33" s="40"/>
      <c r="S33" s="40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1"/>
      <c r="AG33" s="41"/>
      <c r="AH33" s="41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39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1"/>
      <c r="AG34" s="41"/>
      <c r="AH34" s="41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39"/>
      <c r="B35" s="39"/>
      <c r="C35" s="39"/>
      <c r="D35" s="39"/>
      <c r="E35" s="39"/>
      <c r="F35" s="39"/>
      <c r="G35" s="39"/>
      <c r="H35" s="2"/>
      <c r="I35" s="2"/>
      <c r="J35" s="2"/>
      <c r="K35" s="2"/>
      <c r="L35" s="2"/>
      <c r="M35" s="2"/>
      <c r="N35" s="2"/>
      <c r="O35" s="2"/>
      <c r="P35" s="2"/>
      <c r="Q35" s="40"/>
      <c r="R35" s="40"/>
      <c r="S35" s="40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1"/>
      <c r="AG35" s="41"/>
      <c r="AH35" s="4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39"/>
      <c r="B36" s="39"/>
      <c r="C36" s="39"/>
      <c r="D36" s="39"/>
      <c r="E36" s="39"/>
      <c r="F36" s="39"/>
      <c r="G36" s="39"/>
      <c r="H36" s="2"/>
      <c r="I36" s="2"/>
      <c r="J36" s="2"/>
      <c r="K36" s="2"/>
      <c r="L36" s="2"/>
      <c r="M36" s="2"/>
      <c r="N36" s="2"/>
      <c r="O36" s="2"/>
      <c r="P36" s="2"/>
      <c r="Q36" s="40"/>
      <c r="R36" s="40"/>
      <c r="S36" s="40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1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39"/>
      <c r="B37" s="39"/>
      <c r="C37" s="39"/>
      <c r="D37" s="39"/>
      <c r="E37" s="39"/>
      <c r="F37" s="39"/>
      <c r="G37" s="39"/>
      <c r="H37" s="2"/>
      <c r="I37" s="2"/>
      <c r="J37" s="2"/>
      <c r="K37" s="2"/>
      <c r="L37" s="2"/>
      <c r="M37" s="2"/>
      <c r="N37" s="2"/>
      <c r="O37" s="2"/>
      <c r="P37" s="2"/>
      <c r="Q37" s="40"/>
      <c r="R37" s="40"/>
      <c r="S37" s="40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1"/>
      <c r="AG37" s="41"/>
      <c r="AH37" s="41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2"/>
      <c r="L38" s="2"/>
      <c r="M38" s="2"/>
      <c r="N38" s="2"/>
      <c r="O38" s="2"/>
      <c r="P38" s="2"/>
      <c r="Q38" s="40"/>
      <c r="R38" s="40"/>
      <c r="S38" s="40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1"/>
      <c r="AG38" s="41"/>
      <c r="AH38" s="41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4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95</v>
      </c>
      <c r="I9" s="20"/>
      <c r="J9" s="20"/>
      <c r="K9" s="20" t="s">
        <v>95</v>
      </c>
      <c r="L9" s="20"/>
      <c r="M9" s="20"/>
      <c r="N9" s="20" t="s">
        <v>95</v>
      </c>
      <c r="O9" s="20"/>
      <c r="P9" s="20"/>
      <c r="Q9" s="20" t="s">
        <v>96</v>
      </c>
      <c r="R9" s="20"/>
      <c r="S9" s="20"/>
      <c r="T9" s="20" t="s">
        <v>97</v>
      </c>
      <c r="U9" s="20"/>
      <c r="V9" s="20"/>
      <c r="W9" s="20" t="s">
        <v>98</v>
      </c>
      <c r="X9" s="20"/>
      <c r="Y9" s="20"/>
      <c r="Z9" s="20" t="s">
        <v>98</v>
      </c>
      <c r="AA9" s="20"/>
      <c r="AB9" s="20"/>
      <c r="AC9" s="20" t="s">
        <v>98</v>
      </c>
      <c r="AD9" s="20"/>
      <c r="AE9" s="20"/>
      <c r="AF9" s="20" t="s">
        <v>98</v>
      </c>
      <c r="AG9" s="20"/>
      <c r="AH9" s="20"/>
      <c r="AI9" s="20" t="s">
        <v>98</v>
      </c>
      <c r="AJ9" s="20"/>
      <c r="AK9" s="20"/>
      <c r="AL9" s="20" t="s">
        <v>98</v>
      </c>
      <c r="AM9" s="20"/>
      <c r="AN9" s="20"/>
      <c r="AO9" s="20" t="s">
        <v>98</v>
      </c>
      <c r="AP9" s="20"/>
      <c r="AQ9" s="20"/>
      <c r="AR9" s="20" t="s">
        <v>98</v>
      </c>
      <c r="AS9" s="20"/>
      <c r="AT9" s="20"/>
      <c r="AU9" s="20" t="s">
        <v>99</v>
      </c>
      <c r="AV9" s="20"/>
      <c r="AW9" s="20"/>
      <c r="AX9" s="20" t="s">
        <v>99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32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35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33</v>
      </c>
      <c r="AA10" s="24"/>
      <c r="AB10" s="24"/>
      <c r="AC10" s="24" t="s">
        <v>35</v>
      </c>
      <c r="AD10" s="24"/>
      <c r="AE10" s="24"/>
      <c r="AF10" s="24" t="s">
        <v>100</v>
      </c>
      <c r="AG10" s="24"/>
      <c r="AH10" s="24"/>
      <c r="AI10" s="24" t="s">
        <v>37</v>
      </c>
      <c r="AJ10" s="24"/>
      <c r="AK10" s="24"/>
      <c r="AL10" s="24" t="s">
        <v>77</v>
      </c>
      <c r="AM10" s="24"/>
      <c r="AN10" s="24"/>
      <c r="AO10" s="24" t="s">
        <v>38</v>
      </c>
      <c r="AP10" s="24"/>
      <c r="AQ10" s="24"/>
      <c r="AR10" s="24" t="s">
        <v>39</v>
      </c>
      <c r="AS10" s="24"/>
      <c r="AT10" s="24"/>
      <c r="AU10" s="24" t="s">
        <v>32</v>
      </c>
      <c r="AV10" s="24"/>
      <c r="AW10" s="24"/>
      <c r="AX10" s="24" t="s">
        <v>35</v>
      </c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41</v>
      </c>
      <c r="I11" s="25"/>
      <c r="J11" s="25"/>
      <c r="K11" s="25" t="s">
        <v>42</v>
      </c>
      <c r="L11" s="25"/>
      <c r="M11" s="25"/>
      <c r="N11" s="25" t="s">
        <v>43</v>
      </c>
      <c r="O11" s="25"/>
      <c r="P11" s="25"/>
      <c r="Q11" s="25" t="s">
        <v>44</v>
      </c>
      <c r="R11" s="25"/>
      <c r="S11" s="25"/>
      <c r="T11" s="25" t="s">
        <v>45</v>
      </c>
      <c r="U11" s="25"/>
      <c r="V11" s="25"/>
      <c r="W11" s="25" t="s">
        <v>46</v>
      </c>
      <c r="X11" s="25"/>
      <c r="Y11" s="25"/>
      <c r="Z11" s="25" t="s">
        <v>101</v>
      </c>
      <c r="AA11" s="25"/>
      <c r="AB11" s="25"/>
      <c r="AC11" s="25" t="s">
        <v>102</v>
      </c>
      <c r="AD11" s="25"/>
      <c r="AE11" s="25"/>
      <c r="AF11" s="25" t="s">
        <v>103</v>
      </c>
      <c r="AG11" s="25"/>
      <c r="AH11" s="25"/>
      <c r="AI11" s="25" t="s">
        <v>48</v>
      </c>
      <c r="AJ11" s="25"/>
      <c r="AK11" s="25"/>
      <c r="AL11" s="25" t="s">
        <v>104</v>
      </c>
      <c r="AM11" s="25"/>
      <c r="AN11" s="25"/>
      <c r="AO11" s="25" t="s">
        <v>49</v>
      </c>
      <c r="AP11" s="25"/>
      <c r="AQ11" s="25"/>
      <c r="AR11" s="25" t="s">
        <v>50</v>
      </c>
      <c r="AS11" s="25"/>
      <c r="AT11" s="25"/>
      <c r="AU11" s="25" t="s">
        <v>51</v>
      </c>
      <c r="AV11" s="25"/>
      <c r="AW11" s="25"/>
      <c r="AX11" s="25" t="s">
        <v>52</v>
      </c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15.75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5.75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880</v>
      </c>
      <c r="I16" s="29"/>
      <c r="J16" s="29"/>
      <c r="K16" s="29" t="n">
        <v>10</v>
      </c>
      <c r="L16" s="29"/>
      <c r="M16" s="29"/>
      <c r="N16" s="29" t="n">
        <v>110</v>
      </c>
      <c r="O16" s="29"/>
      <c r="P16" s="29"/>
      <c r="Q16" s="29"/>
      <c r="R16" s="29"/>
      <c r="S16" s="29"/>
      <c r="T16" s="29" t="n">
        <v>35</v>
      </c>
      <c r="U16" s="29"/>
      <c r="V16" s="29"/>
      <c r="W16" s="29"/>
      <c r="X16" s="29"/>
      <c r="Y16" s="29"/>
      <c r="Z16" s="29" t="n">
        <v>6</v>
      </c>
      <c r="AA16" s="29"/>
      <c r="AB16" s="29"/>
      <c r="AC16" s="29" t="n">
        <v>2</v>
      </c>
      <c r="AD16" s="29"/>
      <c r="AE16" s="29"/>
      <c r="AF16" s="29"/>
      <c r="AG16" s="29"/>
      <c r="AH16" s="29"/>
      <c r="AI16" s="29" t="n">
        <v>4</v>
      </c>
      <c r="AJ16" s="29"/>
      <c r="AK16" s="29"/>
      <c r="AL16" s="29" t="n">
        <v>4</v>
      </c>
      <c r="AM16" s="29"/>
      <c r="AN16" s="29"/>
      <c r="AO16" s="29" t="n">
        <v>50</v>
      </c>
      <c r="AP16" s="29"/>
      <c r="AQ16" s="29"/>
      <c r="AR16" s="29"/>
      <c r="AS16" s="29"/>
      <c r="AT16" s="29"/>
      <c r="AU16" s="29" t="n">
        <v>88</v>
      </c>
      <c r="AV16" s="29"/>
      <c r="AW16" s="29"/>
      <c r="AX16" s="29" t="n">
        <v>49</v>
      </c>
      <c r="AY16" s="29"/>
      <c r="AZ16" s="29"/>
    </row>
    <row r="17" customFormat="false" ht="15.75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1150</v>
      </c>
      <c r="I17" s="29"/>
      <c r="J17" s="29"/>
      <c r="K17" s="29" t="n">
        <v>80</v>
      </c>
      <c r="L17" s="29"/>
      <c r="M17" s="29"/>
      <c r="N17" s="29" t="n">
        <v>115</v>
      </c>
      <c r="O17" s="29"/>
      <c r="P17" s="29"/>
      <c r="Q17" s="29" t="n">
        <v>40</v>
      </c>
      <c r="R17" s="29"/>
      <c r="S17" s="29"/>
      <c r="T17" s="29" t="n">
        <v>45</v>
      </c>
      <c r="U17" s="29"/>
      <c r="V17" s="29"/>
      <c r="W17" s="29"/>
      <c r="X17" s="29"/>
      <c r="Y17" s="29"/>
      <c r="Z17" s="29" t="n">
        <v>6</v>
      </c>
      <c r="AA17" s="29"/>
      <c r="AB17" s="29"/>
      <c r="AC17" s="29" t="n">
        <v>5</v>
      </c>
      <c r="AD17" s="29"/>
      <c r="AE17" s="29"/>
      <c r="AF17" s="29" t="n">
        <v>1</v>
      </c>
      <c r="AG17" s="29"/>
      <c r="AH17" s="29"/>
      <c r="AI17" s="29" t="n">
        <v>13</v>
      </c>
      <c r="AJ17" s="29"/>
      <c r="AK17" s="29"/>
      <c r="AL17" s="29" t="n">
        <v>6</v>
      </c>
      <c r="AM17" s="29"/>
      <c r="AN17" s="29"/>
      <c r="AO17" s="29" t="n">
        <v>120</v>
      </c>
      <c r="AP17" s="29"/>
      <c r="AQ17" s="29"/>
      <c r="AR17" s="29" t="n">
        <v>3</v>
      </c>
      <c r="AS17" s="29"/>
      <c r="AT17" s="29"/>
      <c r="AU17" s="29" t="n">
        <v>84</v>
      </c>
      <c r="AV17" s="29"/>
      <c r="AW17" s="29"/>
      <c r="AX17" s="29" t="n">
        <v>135</v>
      </c>
      <c r="AY17" s="29"/>
      <c r="AZ17" s="29"/>
    </row>
    <row r="18" customFormat="false" ht="15.75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480</v>
      </c>
      <c r="I18" s="29"/>
      <c r="J18" s="29"/>
      <c r="K18" s="29"/>
      <c r="L18" s="29"/>
      <c r="M18" s="29"/>
      <c r="N18" s="29" t="n">
        <v>85</v>
      </c>
      <c r="O18" s="29"/>
      <c r="P18" s="29"/>
      <c r="Q18" s="29"/>
      <c r="R18" s="29"/>
      <c r="S18" s="29"/>
      <c r="T18" s="29" t="n">
        <v>20</v>
      </c>
      <c r="U18" s="29"/>
      <c r="V18" s="29"/>
      <c r="W18" s="29"/>
      <c r="X18" s="29"/>
      <c r="Y18" s="29"/>
      <c r="Z18" s="29" t="n">
        <v>6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 t="n">
        <v>2</v>
      </c>
      <c r="AM18" s="29"/>
      <c r="AN18" s="29"/>
      <c r="AO18" s="29" t="n">
        <v>55</v>
      </c>
      <c r="AP18" s="29"/>
      <c r="AQ18" s="29"/>
      <c r="AR18" s="29"/>
      <c r="AS18" s="29"/>
      <c r="AT18" s="29"/>
      <c r="AU18" s="29" t="n">
        <v>50</v>
      </c>
      <c r="AV18" s="29"/>
      <c r="AW18" s="29"/>
      <c r="AX18" s="29" t="n">
        <v>30</v>
      </c>
      <c r="AY18" s="29"/>
      <c r="AZ18" s="29"/>
    </row>
    <row r="19" customFormat="false" ht="15.75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315</v>
      </c>
      <c r="I19" s="29"/>
      <c r="J19" s="29"/>
      <c r="K19" s="29" t="n">
        <v>65</v>
      </c>
      <c r="L19" s="29"/>
      <c r="M19" s="29"/>
      <c r="N19" s="29" t="n">
        <v>35</v>
      </c>
      <c r="O19" s="29"/>
      <c r="P19" s="29"/>
      <c r="Q19" s="29" t="n">
        <v>25</v>
      </c>
      <c r="R19" s="29"/>
      <c r="S19" s="29"/>
      <c r="T19" s="29" t="n">
        <v>15</v>
      </c>
      <c r="U19" s="29"/>
      <c r="V19" s="29"/>
      <c r="W19" s="29" t="n">
        <v>4</v>
      </c>
      <c r="X19" s="29"/>
      <c r="Y19" s="29"/>
      <c r="Z19" s="29" t="n">
        <v>8</v>
      </c>
      <c r="AA19" s="29"/>
      <c r="AB19" s="29"/>
      <c r="AC19" s="29" t="n">
        <v>3</v>
      </c>
      <c r="AD19" s="29"/>
      <c r="AE19" s="29"/>
      <c r="AF19" s="29" t="n">
        <v>3</v>
      </c>
      <c r="AG19" s="29"/>
      <c r="AH19" s="29"/>
      <c r="AI19" s="29" t="n">
        <v>1</v>
      </c>
      <c r="AJ19" s="29"/>
      <c r="AK19" s="29"/>
      <c r="AL19" s="29" t="n">
        <v>2</v>
      </c>
      <c r="AM19" s="29"/>
      <c r="AN19" s="29"/>
      <c r="AO19" s="29" t="n">
        <v>60</v>
      </c>
      <c r="AP19" s="29"/>
      <c r="AQ19" s="29"/>
      <c r="AR19" s="29"/>
      <c r="AS19" s="29"/>
      <c r="AT19" s="29"/>
      <c r="AU19" s="29" t="n">
        <v>32</v>
      </c>
      <c r="AV19" s="29"/>
      <c r="AW19" s="29"/>
      <c r="AX19" s="29" t="n">
        <v>15</v>
      </c>
      <c r="AY19" s="29"/>
      <c r="AZ19" s="29"/>
    </row>
    <row r="20" customFormat="false" ht="15.75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380</v>
      </c>
      <c r="I20" s="29"/>
      <c r="J20" s="29"/>
      <c r="K20" s="29"/>
      <c r="L20" s="29"/>
      <c r="M20" s="29"/>
      <c r="N20" s="29" t="n">
        <v>55</v>
      </c>
      <c r="O20" s="29"/>
      <c r="P20" s="29"/>
      <c r="Q20" s="29"/>
      <c r="R20" s="29"/>
      <c r="S20" s="29"/>
      <c r="T20" s="29" t="n">
        <v>15</v>
      </c>
      <c r="U20" s="29"/>
      <c r="V20" s="29"/>
      <c r="W20" s="29"/>
      <c r="X20" s="29"/>
      <c r="Y20" s="29"/>
      <c r="Z20" s="29" t="n">
        <v>6</v>
      </c>
      <c r="AA20" s="29"/>
      <c r="AB20" s="29"/>
      <c r="AC20" s="29" t="n">
        <v>1</v>
      </c>
      <c r="AD20" s="29"/>
      <c r="AE20" s="29"/>
      <c r="AF20" s="29" t="n">
        <v>2</v>
      </c>
      <c r="AG20" s="29"/>
      <c r="AH20" s="29"/>
      <c r="AI20" s="29"/>
      <c r="AJ20" s="29"/>
      <c r="AK20" s="29"/>
      <c r="AL20" s="29" t="n">
        <v>2</v>
      </c>
      <c r="AM20" s="29"/>
      <c r="AN20" s="29"/>
      <c r="AO20" s="29" t="n">
        <v>70</v>
      </c>
      <c r="AP20" s="29"/>
      <c r="AQ20" s="29"/>
      <c r="AR20" s="29"/>
      <c r="AS20" s="29"/>
      <c r="AT20" s="29"/>
      <c r="AU20" s="29" t="n">
        <v>32</v>
      </c>
      <c r="AV20" s="29"/>
      <c r="AW20" s="29"/>
      <c r="AX20" s="29" t="n">
        <v>18</v>
      </c>
      <c r="AY20" s="29"/>
      <c r="AZ20" s="29"/>
    </row>
    <row r="21" customFormat="false" ht="15.75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390</v>
      </c>
      <c r="I21" s="29"/>
      <c r="J21" s="29"/>
      <c r="K21" s="29" t="n">
        <v>50</v>
      </c>
      <c r="L21" s="29"/>
      <c r="M21" s="29"/>
      <c r="N21" s="29" t="n">
        <v>75</v>
      </c>
      <c r="O21" s="29"/>
      <c r="P21" s="29"/>
      <c r="Q21" s="29" t="n">
        <v>40</v>
      </c>
      <c r="R21" s="29"/>
      <c r="S21" s="29"/>
      <c r="T21" s="29" t="n">
        <v>12</v>
      </c>
      <c r="U21" s="29"/>
      <c r="V21" s="29"/>
      <c r="W21" s="29" t="n">
        <v>4</v>
      </c>
      <c r="X21" s="29"/>
      <c r="Y21" s="29"/>
      <c r="Z21" s="29" t="n">
        <v>8</v>
      </c>
      <c r="AA21" s="29"/>
      <c r="AB21" s="29"/>
      <c r="AC21" s="29" t="n">
        <v>3</v>
      </c>
      <c r="AD21" s="29"/>
      <c r="AE21" s="29"/>
      <c r="AF21" s="29" t="n">
        <v>3</v>
      </c>
      <c r="AG21" s="29"/>
      <c r="AH21" s="29"/>
      <c r="AI21" s="29"/>
      <c r="AJ21" s="29"/>
      <c r="AK21" s="29"/>
      <c r="AL21" s="29"/>
      <c r="AM21" s="29"/>
      <c r="AN21" s="29"/>
      <c r="AO21" s="29" t="n">
        <v>50</v>
      </c>
      <c r="AP21" s="29"/>
      <c r="AQ21" s="29"/>
      <c r="AR21" s="29"/>
      <c r="AS21" s="29"/>
      <c r="AT21" s="29"/>
      <c r="AU21" s="29" t="n">
        <v>34</v>
      </c>
      <c r="AV21" s="29"/>
      <c r="AW21" s="29"/>
      <c r="AX21" s="29" t="n">
        <v>7</v>
      </c>
      <c r="AY21" s="29"/>
      <c r="AZ21" s="29"/>
    </row>
    <row r="22" customFormat="false" ht="15.75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 t="n">
        <v>320</v>
      </c>
      <c r="I22" s="29"/>
      <c r="J22" s="29"/>
      <c r="K22" s="29"/>
      <c r="L22" s="29"/>
      <c r="M22" s="29"/>
      <c r="N22" s="29" t="n">
        <v>125</v>
      </c>
      <c r="O22" s="29"/>
      <c r="P22" s="29"/>
      <c r="Q22" s="29" t="n">
        <v>39</v>
      </c>
      <c r="R22" s="29"/>
      <c r="S22" s="29"/>
      <c r="T22" s="29" t="n">
        <v>12</v>
      </c>
      <c r="U22" s="29"/>
      <c r="V22" s="29"/>
      <c r="W22" s="29" t="n">
        <v>4</v>
      </c>
      <c r="X22" s="29"/>
      <c r="Y22" s="29"/>
      <c r="Z22" s="29" t="n">
        <v>8</v>
      </c>
      <c r="AA22" s="29"/>
      <c r="AB22" s="29"/>
      <c r="AC22" s="29"/>
      <c r="AD22" s="29"/>
      <c r="AE22" s="29"/>
      <c r="AF22" s="29"/>
      <c r="AG22" s="29"/>
      <c r="AH22" s="29"/>
      <c r="AI22" s="29" t="n">
        <v>1</v>
      </c>
      <c r="AJ22" s="29"/>
      <c r="AK22" s="29"/>
      <c r="AL22" s="29" t="n">
        <v>2</v>
      </c>
      <c r="AM22" s="29"/>
      <c r="AN22" s="29"/>
      <c r="AO22" s="29" t="n">
        <v>50</v>
      </c>
      <c r="AP22" s="29"/>
      <c r="AQ22" s="29"/>
      <c r="AR22" s="29"/>
      <c r="AS22" s="29"/>
      <c r="AT22" s="29"/>
      <c r="AU22" s="29" t="n">
        <v>36</v>
      </c>
      <c r="AV22" s="29"/>
      <c r="AW22" s="29"/>
      <c r="AX22" s="29" t="n">
        <v>9</v>
      </c>
      <c r="AY22" s="29"/>
      <c r="AZ22" s="29"/>
    </row>
    <row r="23" customFormat="false" ht="15.75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450</v>
      </c>
      <c r="I23" s="29"/>
      <c r="J23" s="29"/>
      <c r="K23" s="29" t="n">
        <v>60</v>
      </c>
      <c r="L23" s="29"/>
      <c r="M23" s="29"/>
      <c r="N23" s="29" t="n">
        <v>35</v>
      </c>
      <c r="O23" s="29"/>
      <c r="P23" s="29"/>
      <c r="Q23" s="29" t="n">
        <v>24</v>
      </c>
      <c r="R23" s="29"/>
      <c r="S23" s="29"/>
      <c r="T23" s="29" t="n">
        <v>20</v>
      </c>
      <c r="U23" s="29"/>
      <c r="V23" s="29"/>
      <c r="W23" s="29" t="n">
        <v>2</v>
      </c>
      <c r="X23" s="29"/>
      <c r="Y23" s="29"/>
      <c r="Z23" s="29" t="n">
        <v>6</v>
      </c>
      <c r="AA23" s="29"/>
      <c r="AB23" s="29"/>
      <c r="AC23" s="29" t="n">
        <v>1</v>
      </c>
      <c r="AD23" s="29"/>
      <c r="AE23" s="29"/>
      <c r="AF23" s="29"/>
      <c r="AG23" s="29"/>
      <c r="AH23" s="29"/>
      <c r="AI23" s="29" t="n">
        <v>2</v>
      </c>
      <c r="AJ23" s="29"/>
      <c r="AK23" s="29"/>
      <c r="AL23" s="29" t="n">
        <v>2</v>
      </c>
      <c r="AM23" s="29"/>
      <c r="AN23" s="29"/>
      <c r="AO23" s="29" t="n">
        <v>60</v>
      </c>
      <c r="AP23" s="29"/>
      <c r="AQ23" s="29"/>
      <c r="AR23" s="29"/>
      <c r="AS23" s="29"/>
      <c r="AT23" s="29"/>
      <c r="AU23" s="29" t="n">
        <v>37</v>
      </c>
      <c r="AV23" s="29"/>
      <c r="AW23" s="29"/>
      <c r="AX23" s="29" t="n">
        <v>8</v>
      </c>
      <c r="AY23" s="29"/>
      <c r="AZ23" s="29"/>
    </row>
    <row r="24" customFormat="false" ht="15.75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 t="n">
        <v>950</v>
      </c>
      <c r="I24" s="29"/>
      <c r="J24" s="29"/>
      <c r="K24" s="29" t="n">
        <v>25</v>
      </c>
      <c r="L24" s="29"/>
      <c r="M24" s="29"/>
      <c r="N24" s="29" t="n">
        <v>85</v>
      </c>
      <c r="O24" s="29"/>
      <c r="P24" s="29"/>
      <c r="Q24" s="29" t="n">
        <v>10</v>
      </c>
      <c r="R24" s="29"/>
      <c r="S24" s="29"/>
      <c r="T24" s="29" t="n">
        <v>35</v>
      </c>
      <c r="U24" s="29"/>
      <c r="V24" s="29"/>
      <c r="W24" s="29"/>
      <c r="X24" s="29"/>
      <c r="Y24" s="29"/>
      <c r="Z24" s="29" t="n">
        <v>6</v>
      </c>
      <c r="AA24" s="29"/>
      <c r="AB24" s="29"/>
      <c r="AC24" s="29" t="n">
        <v>1</v>
      </c>
      <c r="AD24" s="29"/>
      <c r="AE24" s="29"/>
      <c r="AF24" s="29"/>
      <c r="AG24" s="29"/>
      <c r="AH24" s="29"/>
      <c r="AI24" s="29" t="n">
        <v>2</v>
      </c>
      <c r="AJ24" s="29"/>
      <c r="AK24" s="29"/>
      <c r="AL24" s="29" t="n">
        <v>2</v>
      </c>
      <c r="AM24" s="29"/>
      <c r="AN24" s="29"/>
      <c r="AO24" s="29" t="n">
        <v>220</v>
      </c>
      <c r="AP24" s="29"/>
      <c r="AQ24" s="29"/>
      <c r="AR24" s="29" t="n">
        <v>25</v>
      </c>
      <c r="AS24" s="29"/>
      <c r="AT24" s="29"/>
      <c r="AU24" s="29" t="n">
        <v>59</v>
      </c>
      <c r="AV24" s="29"/>
      <c r="AW24" s="29"/>
      <c r="AX24" s="29" t="n">
        <v>39</v>
      </c>
      <c r="AY24" s="29"/>
      <c r="AZ24" s="29"/>
    </row>
    <row r="25" customFormat="false" ht="15.75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370</v>
      </c>
      <c r="I25" s="29"/>
      <c r="J25" s="29"/>
      <c r="K25" s="29" t="n">
        <v>60</v>
      </c>
      <c r="L25" s="29"/>
      <c r="M25" s="29"/>
      <c r="N25" s="29" t="n">
        <v>40</v>
      </c>
      <c r="O25" s="29"/>
      <c r="P25" s="29"/>
      <c r="Q25" s="29" t="n">
        <v>56</v>
      </c>
      <c r="R25" s="29"/>
      <c r="S25" s="29"/>
      <c r="T25" s="29" t="n">
        <v>12</v>
      </c>
      <c r="U25" s="29"/>
      <c r="V25" s="29"/>
      <c r="W25" s="29" t="n">
        <v>5</v>
      </c>
      <c r="X25" s="29"/>
      <c r="Y25" s="29"/>
      <c r="Z25" s="29" t="n">
        <v>8</v>
      </c>
      <c r="AA25" s="29"/>
      <c r="AB25" s="29"/>
      <c r="AC25" s="29"/>
      <c r="AD25" s="29"/>
      <c r="AE25" s="29"/>
      <c r="AF25" s="29" t="n">
        <v>1</v>
      </c>
      <c r="AG25" s="29"/>
      <c r="AH25" s="29"/>
      <c r="AI25" s="29"/>
      <c r="AJ25" s="29"/>
      <c r="AK25" s="29"/>
      <c r="AL25" s="29"/>
      <c r="AM25" s="29"/>
      <c r="AN25" s="29"/>
      <c r="AO25" s="29" t="n">
        <v>45</v>
      </c>
      <c r="AP25" s="29"/>
      <c r="AQ25" s="29"/>
      <c r="AR25" s="29"/>
      <c r="AS25" s="29"/>
      <c r="AT25" s="29"/>
      <c r="AU25" s="29" t="n">
        <v>32</v>
      </c>
      <c r="AV25" s="29"/>
      <c r="AW25" s="29"/>
      <c r="AX25" s="29" t="n">
        <v>12</v>
      </c>
      <c r="AY25" s="29"/>
      <c r="AZ25" s="29"/>
    </row>
    <row r="26" customFormat="false" ht="15.75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 t="n">
        <v>490</v>
      </c>
      <c r="I26" s="29"/>
      <c r="J26" s="29"/>
      <c r="K26" s="29"/>
      <c r="L26" s="29"/>
      <c r="M26" s="29"/>
      <c r="N26" s="29" t="n">
        <v>50</v>
      </c>
      <c r="O26" s="29"/>
      <c r="P26" s="29"/>
      <c r="Q26" s="29"/>
      <c r="R26" s="29"/>
      <c r="S26" s="29"/>
      <c r="T26" s="29" t="n">
        <v>18</v>
      </c>
      <c r="U26" s="29"/>
      <c r="V26" s="29"/>
      <c r="W26" s="29"/>
      <c r="X26" s="29"/>
      <c r="Y26" s="29"/>
      <c r="Z26" s="29" t="n">
        <v>6</v>
      </c>
      <c r="AA26" s="29"/>
      <c r="AB26" s="29"/>
      <c r="AC26" s="29"/>
      <c r="AD26" s="29"/>
      <c r="AE26" s="29"/>
      <c r="AF26" s="29" t="n">
        <v>1</v>
      </c>
      <c r="AG26" s="29"/>
      <c r="AH26" s="29"/>
      <c r="AI26" s="29"/>
      <c r="AJ26" s="29"/>
      <c r="AK26" s="29"/>
      <c r="AL26" s="29" t="n">
        <v>2</v>
      </c>
      <c r="AM26" s="29"/>
      <c r="AN26" s="29"/>
      <c r="AO26" s="29" t="n">
        <v>120</v>
      </c>
      <c r="AP26" s="29"/>
      <c r="AQ26" s="29"/>
      <c r="AR26" s="29" t="n">
        <v>6</v>
      </c>
      <c r="AS26" s="29"/>
      <c r="AT26" s="29"/>
      <c r="AU26" s="29" t="n">
        <v>25</v>
      </c>
      <c r="AV26" s="29"/>
      <c r="AW26" s="29"/>
      <c r="AX26" s="29" t="n">
        <v>14</v>
      </c>
      <c r="AY26" s="29"/>
      <c r="AZ26" s="29"/>
    </row>
    <row r="27" customFormat="false" ht="15.75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480</v>
      </c>
      <c r="I27" s="29"/>
      <c r="J27" s="29"/>
      <c r="K27" s="29" t="n">
        <v>80</v>
      </c>
      <c r="L27" s="29"/>
      <c r="M27" s="29"/>
      <c r="N27" s="29" t="n">
        <v>50</v>
      </c>
      <c r="O27" s="29"/>
      <c r="P27" s="29"/>
      <c r="Q27" s="29" t="n">
        <v>20</v>
      </c>
      <c r="R27" s="29"/>
      <c r="S27" s="29"/>
      <c r="T27" s="29" t="n">
        <v>14</v>
      </c>
      <c r="U27" s="29"/>
      <c r="V27" s="29"/>
      <c r="W27" s="29" t="n">
        <v>2</v>
      </c>
      <c r="X27" s="29"/>
      <c r="Y27" s="29"/>
      <c r="Z27" s="29" t="n">
        <v>8</v>
      </c>
      <c r="AA27" s="29"/>
      <c r="AB27" s="29"/>
      <c r="AC27" s="29" t="n">
        <v>1</v>
      </c>
      <c r="AD27" s="29"/>
      <c r="AE27" s="29"/>
      <c r="AF27" s="29" t="n">
        <v>2</v>
      </c>
      <c r="AG27" s="29"/>
      <c r="AH27" s="29"/>
      <c r="AI27" s="29"/>
      <c r="AJ27" s="29"/>
      <c r="AK27" s="29"/>
      <c r="AL27" s="29" t="n">
        <v>2</v>
      </c>
      <c r="AM27" s="29"/>
      <c r="AN27" s="29"/>
      <c r="AO27" s="29" t="n">
        <v>58</v>
      </c>
      <c r="AP27" s="29"/>
      <c r="AQ27" s="29"/>
      <c r="AR27" s="29"/>
      <c r="AS27" s="29"/>
      <c r="AT27" s="29"/>
      <c r="AU27" s="29" t="n">
        <v>50</v>
      </c>
      <c r="AV27" s="29"/>
      <c r="AW27" s="29"/>
      <c r="AX27" s="29" t="n">
        <v>25</v>
      </c>
      <c r="AY27" s="29"/>
      <c r="AZ27" s="29"/>
    </row>
    <row r="28" customFormat="false" ht="15.75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 t="n">
        <v>930</v>
      </c>
      <c r="I28" s="29"/>
      <c r="J28" s="29"/>
      <c r="K28" s="29"/>
      <c r="L28" s="29"/>
      <c r="M28" s="29"/>
      <c r="N28" s="29" t="n">
        <v>60</v>
      </c>
      <c r="O28" s="29"/>
      <c r="P28" s="29"/>
      <c r="Q28" s="29"/>
      <c r="R28" s="29"/>
      <c r="S28" s="29"/>
      <c r="T28" s="29" t="n">
        <v>36</v>
      </c>
      <c r="U28" s="29"/>
      <c r="V28" s="29"/>
      <c r="W28" s="29"/>
      <c r="X28" s="29"/>
      <c r="Y28" s="29"/>
      <c r="Z28" s="29" t="n">
        <v>6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 t="n">
        <v>75</v>
      </c>
      <c r="AP28" s="29"/>
      <c r="AQ28" s="29"/>
      <c r="AR28" s="29"/>
      <c r="AS28" s="29"/>
      <c r="AT28" s="29"/>
      <c r="AU28" s="29" t="n">
        <v>62</v>
      </c>
      <c r="AV28" s="29"/>
      <c r="AW28" s="29"/>
      <c r="AX28" s="29" t="n">
        <v>18</v>
      </c>
      <c r="AY28" s="29"/>
      <c r="AZ28" s="29"/>
    </row>
    <row r="29" customFormat="false" ht="15.75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770</v>
      </c>
      <c r="I29" s="29"/>
      <c r="J29" s="29"/>
      <c r="K29" s="29" t="n">
        <v>80</v>
      </c>
      <c r="L29" s="29"/>
      <c r="M29" s="29"/>
      <c r="N29" s="29"/>
      <c r="O29" s="29"/>
      <c r="P29" s="29"/>
      <c r="Q29" s="29" t="n">
        <v>40</v>
      </c>
      <c r="R29" s="29"/>
      <c r="S29" s="29"/>
      <c r="T29" s="29" t="n">
        <v>36</v>
      </c>
      <c r="U29" s="29"/>
      <c r="V29" s="29"/>
      <c r="W29" s="29" t="n">
        <v>3</v>
      </c>
      <c r="X29" s="29"/>
      <c r="Y29" s="29"/>
      <c r="Z29" s="29" t="n">
        <v>6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 t="n">
        <v>2</v>
      </c>
      <c r="AM29" s="29"/>
      <c r="AN29" s="29"/>
      <c r="AO29" s="29" t="n">
        <v>56</v>
      </c>
      <c r="AP29" s="29"/>
      <c r="AQ29" s="29"/>
      <c r="AR29" s="29"/>
      <c r="AS29" s="29"/>
      <c r="AT29" s="29"/>
      <c r="AU29" s="29" t="n">
        <v>35</v>
      </c>
      <c r="AV29" s="29"/>
      <c r="AW29" s="29"/>
      <c r="AX29" s="29" t="n">
        <v>19</v>
      </c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8355</v>
      </c>
      <c r="I30" s="29"/>
      <c r="J30" s="29"/>
      <c r="K30" s="29" t="n">
        <f aca="false">SUM(K15:M29)</f>
        <v>510</v>
      </c>
      <c r="L30" s="29"/>
      <c r="M30" s="29"/>
      <c r="N30" s="29" t="n">
        <f aca="false">SUM(N15:P29)</f>
        <v>920</v>
      </c>
      <c r="O30" s="29"/>
      <c r="P30" s="29"/>
      <c r="Q30" s="29" t="n">
        <f aca="false">SUM(Q15:S29)</f>
        <v>294</v>
      </c>
      <c r="R30" s="29"/>
      <c r="S30" s="29"/>
      <c r="T30" s="29" t="n">
        <f aca="false">SUM(T15:V29)</f>
        <v>325</v>
      </c>
      <c r="U30" s="29"/>
      <c r="V30" s="29"/>
      <c r="W30" s="29" t="n">
        <f aca="false">SUM(W15:Y29)</f>
        <v>24</v>
      </c>
      <c r="X30" s="29"/>
      <c r="Y30" s="29"/>
      <c r="Z30" s="29" t="n">
        <f aca="false">SUM(Z15:AB29)</f>
        <v>94</v>
      </c>
      <c r="AA30" s="29"/>
      <c r="AB30" s="29"/>
      <c r="AC30" s="29" t="n">
        <f aca="false">SUM(AC15:AE29)</f>
        <v>17</v>
      </c>
      <c r="AD30" s="29"/>
      <c r="AE30" s="29"/>
      <c r="AF30" s="29" t="n">
        <f aca="false">SUM(AF15:AH29)</f>
        <v>13</v>
      </c>
      <c r="AG30" s="29"/>
      <c r="AH30" s="29"/>
      <c r="AI30" s="29" t="n">
        <f aca="false">SUM(AI15:AK29)</f>
        <v>23</v>
      </c>
      <c r="AJ30" s="29"/>
      <c r="AK30" s="29"/>
      <c r="AL30" s="29" t="n">
        <f aca="false">SUM(AL15:AN29)</f>
        <v>28</v>
      </c>
      <c r="AM30" s="29"/>
      <c r="AN30" s="29"/>
      <c r="AO30" s="29" t="n">
        <f aca="false">SUM(AO15:AQ29)</f>
        <v>1089</v>
      </c>
      <c r="AP30" s="29"/>
      <c r="AQ30" s="29"/>
      <c r="AR30" s="29" t="n">
        <f aca="false">SUM(AR15:AT29)</f>
        <v>34</v>
      </c>
      <c r="AS30" s="29"/>
      <c r="AT30" s="29"/>
      <c r="AU30" s="29" t="n">
        <f aca="false">SUM(AU15:AW29)</f>
        <v>656</v>
      </c>
      <c r="AV30" s="29"/>
      <c r="AW30" s="29"/>
      <c r="AX30" s="29" t="n">
        <f aca="false">SUM(AX15:AZ29)</f>
        <v>398</v>
      </c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1.773</v>
      </c>
      <c r="I31" s="32"/>
      <c r="J31" s="32"/>
      <c r="K31" s="32" t="n">
        <v>1.773</v>
      </c>
      <c r="L31" s="32"/>
      <c r="M31" s="32"/>
      <c r="N31" s="32" t="n">
        <v>1.395</v>
      </c>
      <c r="O31" s="32"/>
      <c r="P31" s="32"/>
      <c r="Q31" s="32" t="n">
        <v>0.9</v>
      </c>
      <c r="R31" s="32"/>
      <c r="S31" s="32"/>
      <c r="T31" s="32" t="n">
        <v>12.006</v>
      </c>
      <c r="U31" s="32"/>
      <c r="V31" s="32"/>
      <c r="W31" s="32" t="n">
        <v>81.4663928571429</v>
      </c>
      <c r="X31" s="32"/>
      <c r="Y31" s="32"/>
      <c r="Z31" s="32" t="n">
        <v>83.0706428571428</v>
      </c>
      <c r="AA31" s="32"/>
      <c r="AB31" s="32"/>
      <c r="AC31" s="32" t="n">
        <v>27.8839285714286</v>
      </c>
      <c r="AD31" s="32"/>
      <c r="AE31" s="32"/>
      <c r="AF31" s="32" t="n">
        <v>30.7578214285714</v>
      </c>
      <c r="AG31" s="32"/>
      <c r="AH31" s="32"/>
      <c r="AI31" s="32" t="n">
        <v>22.4424642857143</v>
      </c>
      <c r="AJ31" s="32"/>
      <c r="AK31" s="32"/>
      <c r="AL31" s="32" t="n">
        <v>23.5896428571429</v>
      </c>
      <c r="AM31" s="32"/>
      <c r="AN31" s="32"/>
      <c r="AO31" s="32" t="n">
        <v>0.166499999999999</v>
      </c>
      <c r="AP31" s="32"/>
      <c r="AQ31" s="32"/>
      <c r="AR31" s="32" t="n">
        <v>18.0951428571429</v>
      </c>
      <c r="AS31" s="32"/>
      <c r="AT31" s="32"/>
      <c r="AU31" s="32" t="n">
        <v>4.95</v>
      </c>
      <c r="AV31" s="32"/>
      <c r="AW31" s="32"/>
      <c r="AX31" s="32" t="n">
        <v>5.283</v>
      </c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14813.415</v>
      </c>
      <c r="I32" s="34"/>
      <c r="J32" s="34"/>
      <c r="K32" s="34" t="n">
        <f aca="false">K30*K31</f>
        <v>904.23</v>
      </c>
      <c r="L32" s="34"/>
      <c r="M32" s="34"/>
      <c r="N32" s="34" t="n">
        <f aca="false">N30*N31</f>
        <v>1283.4</v>
      </c>
      <c r="O32" s="34"/>
      <c r="P32" s="34"/>
      <c r="Q32" s="34" t="n">
        <f aca="false">Q30*Q31</f>
        <v>264.6</v>
      </c>
      <c r="R32" s="34"/>
      <c r="S32" s="34"/>
      <c r="T32" s="34" t="n">
        <f aca="false">T30*T31</f>
        <v>3901.95</v>
      </c>
      <c r="U32" s="34"/>
      <c r="V32" s="34"/>
      <c r="W32" s="34" t="n">
        <f aca="false">W30*W31</f>
        <v>1955.19342857143</v>
      </c>
      <c r="X32" s="34"/>
      <c r="Y32" s="34"/>
      <c r="Z32" s="34" t="n">
        <f aca="false">Z30*Z31</f>
        <v>7808.64042857143</v>
      </c>
      <c r="AA32" s="34"/>
      <c r="AB32" s="34"/>
      <c r="AC32" s="34" t="n">
        <f aca="false">AC30*AC31</f>
        <v>474.026785714286</v>
      </c>
      <c r="AD32" s="34"/>
      <c r="AE32" s="34"/>
      <c r="AF32" s="34" t="n">
        <f aca="false">AF30*AF31</f>
        <v>399.851678571429</v>
      </c>
      <c r="AG32" s="34"/>
      <c r="AH32" s="34"/>
      <c r="AI32" s="34" t="n">
        <f aca="false">AI30*AI31</f>
        <v>516.176678571429</v>
      </c>
      <c r="AJ32" s="34"/>
      <c r="AK32" s="34"/>
      <c r="AL32" s="34" t="n">
        <f aca="false">AL30*AL31</f>
        <v>660.51</v>
      </c>
      <c r="AM32" s="34"/>
      <c r="AN32" s="34"/>
      <c r="AO32" s="34" t="n">
        <f aca="false">AO30*AO31</f>
        <v>181.318499999999</v>
      </c>
      <c r="AP32" s="34"/>
      <c r="AQ32" s="34"/>
      <c r="AR32" s="34" t="n">
        <f aca="false">AR30*AR31</f>
        <v>615.234857142857</v>
      </c>
      <c r="AS32" s="34"/>
      <c r="AT32" s="34"/>
      <c r="AU32" s="34" t="n">
        <f aca="false">AU30*AU31</f>
        <v>3247.2</v>
      </c>
      <c r="AV32" s="34"/>
      <c r="AW32" s="34"/>
      <c r="AX32" s="34" t="n">
        <f aca="false">AX30*AX31</f>
        <v>2102.634</v>
      </c>
      <c r="AY32" s="34"/>
      <c r="AZ32" s="34"/>
    </row>
    <row r="33" customFormat="false" ht="15.7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39128.3813571429</v>
      </c>
      <c r="AW33" s="38"/>
      <c r="AX33" s="38"/>
      <c r="AY33" s="38"/>
      <c r="AZ33" s="38"/>
    </row>
    <row r="34" customFormat="false" ht="15.7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5.7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5.7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5.7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114</v>
      </c>
      <c r="I9" s="20"/>
      <c r="J9" s="20"/>
      <c r="K9" s="20" t="s">
        <v>115</v>
      </c>
      <c r="L9" s="20"/>
      <c r="M9" s="20"/>
      <c r="N9" s="20" t="s">
        <v>116</v>
      </c>
      <c r="O9" s="20"/>
      <c r="P9" s="20"/>
      <c r="Q9" s="20" t="s">
        <v>116</v>
      </c>
      <c r="R9" s="20"/>
      <c r="S9" s="20"/>
      <c r="T9" s="20" t="s">
        <v>116</v>
      </c>
      <c r="U9" s="20"/>
      <c r="V9" s="20"/>
      <c r="W9" s="20" t="s">
        <v>116</v>
      </c>
      <c r="X9" s="20"/>
      <c r="Y9" s="20"/>
      <c r="Z9" s="20" t="s">
        <v>116</v>
      </c>
      <c r="AA9" s="20"/>
      <c r="AB9" s="20"/>
      <c r="AC9" s="20" t="s">
        <v>116</v>
      </c>
      <c r="AD9" s="20"/>
      <c r="AE9" s="20"/>
      <c r="AF9" s="20" t="s">
        <v>116</v>
      </c>
      <c r="AG9" s="20"/>
      <c r="AH9" s="20"/>
      <c r="AI9" s="20" t="s">
        <v>116</v>
      </c>
      <c r="AJ9" s="20"/>
      <c r="AK9" s="20"/>
      <c r="AL9" s="20" t="s">
        <v>116</v>
      </c>
      <c r="AM9" s="20"/>
      <c r="AN9" s="20"/>
      <c r="AO9" s="20" t="s">
        <v>116</v>
      </c>
      <c r="AP9" s="20"/>
      <c r="AQ9" s="20"/>
      <c r="AR9" s="20" t="s">
        <v>116</v>
      </c>
      <c r="AS9" s="20"/>
      <c r="AT9" s="20"/>
      <c r="AU9" s="20" t="s">
        <v>117</v>
      </c>
      <c r="AV9" s="20"/>
      <c r="AW9" s="20"/>
      <c r="AX9" s="20" t="s">
        <v>118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33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37</v>
      </c>
      <c r="R10" s="24"/>
      <c r="S10" s="24"/>
      <c r="T10" s="24" t="s">
        <v>77</v>
      </c>
      <c r="U10" s="24"/>
      <c r="V10" s="24"/>
      <c r="W10" s="24" t="s">
        <v>78</v>
      </c>
      <c r="X10" s="24"/>
      <c r="Y10" s="24"/>
      <c r="Z10" s="24" t="s">
        <v>38</v>
      </c>
      <c r="AA10" s="24"/>
      <c r="AB10" s="24"/>
      <c r="AC10" s="24" t="s">
        <v>79</v>
      </c>
      <c r="AD10" s="24"/>
      <c r="AE10" s="24"/>
      <c r="AF10" s="24" t="s">
        <v>39</v>
      </c>
      <c r="AG10" s="24"/>
      <c r="AH10" s="24"/>
      <c r="AI10" s="24" t="s">
        <v>80</v>
      </c>
      <c r="AJ10" s="24"/>
      <c r="AK10" s="24"/>
      <c r="AL10" s="24" t="s">
        <v>119</v>
      </c>
      <c r="AM10" s="24"/>
      <c r="AN10" s="24"/>
      <c r="AO10" s="24" t="s">
        <v>81</v>
      </c>
      <c r="AP10" s="24"/>
      <c r="AQ10" s="24"/>
      <c r="AR10" s="24" t="s">
        <v>82</v>
      </c>
      <c r="AS10" s="24"/>
      <c r="AT10" s="24"/>
      <c r="AU10" s="24" t="s">
        <v>32</v>
      </c>
      <c r="AV10" s="24"/>
      <c r="AW10" s="24"/>
      <c r="AX10" s="24" t="s">
        <v>32</v>
      </c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54</v>
      </c>
      <c r="I11" s="25"/>
      <c r="J11" s="25"/>
      <c r="K11" s="25" t="s">
        <v>55</v>
      </c>
      <c r="L11" s="25"/>
      <c r="M11" s="25"/>
      <c r="N11" s="25" t="s">
        <v>83</v>
      </c>
      <c r="O11" s="25"/>
      <c r="P11" s="25"/>
      <c r="Q11" s="25" t="s">
        <v>84</v>
      </c>
      <c r="R11" s="25"/>
      <c r="S11" s="25"/>
      <c r="T11" s="25" t="s">
        <v>85</v>
      </c>
      <c r="U11" s="25"/>
      <c r="V11" s="25"/>
      <c r="W11" s="25" t="s">
        <v>86</v>
      </c>
      <c r="X11" s="25"/>
      <c r="Y11" s="25"/>
      <c r="Z11" s="25" t="s">
        <v>87</v>
      </c>
      <c r="AA11" s="25"/>
      <c r="AB11" s="25"/>
      <c r="AC11" s="25" t="s">
        <v>88</v>
      </c>
      <c r="AD11" s="25"/>
      <c r="AE11" s="25"/>
      <c r="AF11" s="25" t="s">
        <v>89</v>
      </c>
      <c r="AG11" s="25"/>
      <c r="AH11" s="25"/>
      <c r="AI11" s="25" t="s">
        <v>90</v>
      </c>
      <c r="AJ11" s="25"/>
      <c r="AK11" s="25"/>
      <c r="AL11" s="25" t="s">
        <v>120</v>
      </c>
      <c r="AM11" s="25"/>
      <c r="AN11" s="25"/>
      <c r="AO11" s="25" t="s">
        <v>91</v>
      </c>
      <c r="AP11" s="25"/>
      <c r="AQ11" s="25"/>
      <c r="AR11" s="25" t="s">
        <v>92</v>
      </c>
      <c r="AS11" s="25"/>
      <c r="AT11" s="25"/>
      <c r="AU11" s="25" t="s">
        <v>121</v>
      </c>
      <c r="AV11" s="25"/>
      <c r="AW11" s="25"/>
      <c r="AX11" s="25" t="s">
        <v>122</v>
      </c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15.75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5.75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8</v>
      </c>
      <c r="I16" s="29"/>
      <c r="J16" s="29"/>
      <c r="K16" s="29" t="n">
        <v>1</v>
      </c>
      <c r="L16" s="29"/>
      <c r="M16" s="29"/>
      <c r="N16" s="29" t="n">
        <v>2</v>
      </c>
      <c r="O16" s="29"/>
      <c r="P16" s="29"/>
      <c r="Q16" s="29" t="n">
        <v>2</v>
      </c>
      <c r="R16" s="29"/>
      <c r="S16" s="29"/>
      <c r="T16" s="29" t="n">
        <v>1</v>
      </c>
      <c r="U16" s="29"/>
      <c r="V16" s="29"/>
      <c r="W16" s="29" t="n">
        <v>35</v>
      </c>
      <c r="X16" s="29"/>
      <c r="Y16" s="29"/>
      <c r="Z16" s="29" t="n">
        <v>9</v>
      </c>
      <c r="AA16" s="29"/>
      <c r="AB16" s="29"/>
      <c r="AC16" s="29"/>
      <c r="AD16" s="29"/>
      <c r="AE16" s="29"/>
      <c r="AF16" s="29" t="n">
        <v>2</v>
      </c>
      <c r="AG16" s="29"/>
      <c r="AH16" s="29"/>
      <c r="AI16" s="29" t="n">
        <v>3</v>
      </c>
      <c r="AJ16" s="29"/>
      <c r="AK16" s="29"/>
      <c r="AL16" s="29"/>
      <c r="AM16" s="29"/>
      <c r="AN16" s="29"/>
      <c r="AO16" s="29" t="n">
        <v>1</v>
      </c>
      <c r="AP16" s="29"/>
      <c r="AQ16" s="29"/>
      <c r="AR16" s="29" t="n">
        <v>1</v>
      </c>
      <c r="AS16" s="29"/>
      <c r="AT16" s="29"/>
      <c r="AU16" s="29" t="n">
        <v>240</v>
      </c>
      <c r="AV16" s="29"/>
      <c r="AW16" s="29"/>
      <c r="AX16" s="29" t="n">
        <v>2</v>
      </c>
      <c r="AY16" s="29"/>
      <c r="AZ16" s="29"/>
    </row>
    <row r="17" customFormat="false" ht="15.75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14</v>
      </c>
      <c r="I17" s="29"/>
      <c r="J17" s="29"/>
      <c r="K17" s="29" t="n">
        <v>1</v>
      </c>
      <c r="L17" s="29"/>
      <c r="M17" s="29"/>
      <c r="N17" s="29" t="n">
        <v>8</v>
      </c>
      <c r="O17" s="29"/>
      <c r="P17" s="29"/>
      <c r="Q17" s="29" t="n">
        <v>8</v>
      </c>
      <c r="R17" s="29"/>
      <c r="S17" s="29"/>
      <c r="T17" s="29" t="n">
        <v>6</v>
      </c>
      <c r="U17" s="29"/>
      <c r="V17" s="29"/>
      <c r="W17" s="29" t="n">
        <v>49</v>
      </c>
      <c r="X17" s="29"/>
      <c r="Y17" s="29"/>
      <c r="Z17" s="29" t="n">
        <v>11</v>
      </c>
      <c r="AA17" s="29"/>
      <c r="AB17" s="29"/>
      <c r="AC17" s="29" t="n">
        <v>35</v>
      </c>
      <c r="AD17" s="29"/>
      <c r="AE17" s="29"/>
      <c r="AF17" s="29" t="n">
        <v>9</v>
      </c>
      <c r="AG17" s="29"/>
      <c r="AH17" s="29"/>
      <c r="AI17" s="29"/>
      <c r="AJ17" s="29"/>
      <c r="AK17" s="29"/>
      <c r="AL17" s="29"/>
      <c r="AM17" s="29"/>
      <c r="AN17" s="29"/>
      <c r="AO17" s="29" t="n">
        <v>3</v>
      </c>
      <c r="AP17" s="29"/>
      <c r="AQ17" s="29"/>
      <c r="AR17" s="29" t="n">
        <v>3</v>
      </c>
      <c r="AS17" s="29"/>
      <c r="AT17" s="29"/>
      <c r="AU17" s="29" t="n">
        <v>250</v>
      </c>
      <c r="AV17" s="29"/>
      <c r="AW17" s="29"/>
      <c r="AX17" s="29" t="n">
        <v>5</v>
      </c>
      <c r="AY17" s="29"/>
      <c r="AZ17" s="29"/>
    </row>
    <row r="18" customFormat="false" ht="15.75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8</v>
      </c>
      <c r="I18" s="29"/>
      <c r="J18" s="29"/>
      <c r="K18" s="29" t="n">
        <v>1</v>
      </c>
      <c r="L18" s="29"/>
      <c r="M18" s="29"/>
      <c r="N18" s="29" t="n">
        <v>3</v>
      </c>
      <c r="O18" s="29"/>
      <c r="P18" s="29"/>
      <c r="Q18" s="29" t="n">
        <v>3</v>
      </c>
      <c r="R18" s="29"/>
      <c r="S18" s="29"/>
      <c r="T18" s="29" t="n">
        <v>2</v>
      </c>
      <c r="U18" s="29"/>
      <c r="V18" s="29"/>
      <c r="W18" s="29" t="n">
        <v>13</v>
      </c>
      <c r="X18" s="29"/>
      <c r="Y18" s="29"/>
      <c r="Z18" s="29" t="n">
        <v>8</v>
      </c>
      <c r="AA18" s="29"/>
      <c r="AB18" s="29"/>
      <c r="AC18" s="29" t="n">
        <v>2</v>
      </c>
      <c r="AD18" s="29"/>
      <c r="AE18" s="29"/>
      <c r="AF18" s="29"/>
      <c r="AG18" s="29"/>
      <c r="AH18" s="29"/>
      <c r="AI18" s="29" t="n">
        <v>4</v>
      </c>
      <c r="AJ18" s="29"/>
      <c r="AK18" s="29"/>
      <c r="AL18" s="29"/>
      <c r="AM18" s="29"/>
      <c r="AN18" s="29"/>
      <c r="AO18" s="29" t="n">
        <v>1</v>
      </c>
      <c r="AP18" s="29"/>
      <c r="AQ18" s="29"/>
      <c r="AR18" s="29" t="n">
        <v>3</v>
      </c>
      <c r="AS18" s="29"/>
      <c r="AT18" s="29"/>
      <c r="AU18" s="29" t="n">
        <v>350</v>
      </c>
      <c r="AV18" s="29"/>
      <c r="AW18" s="29"/>
      <c r="AX18" s="29" t="n">
        <v>3</v>
      </c>
      <c r="AY18" s="29"/>
      <c r="AZ18" s="29"/>
    </row>
    <row r="19" customFormat="false" ht="15.75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2</v>
      </c>
      <c r="I19" s="29"/>
      <c r="J19" s="29"/>
      <c r="K19" s="29" t="n">
        <v>1</v>
      </c>
      <c r="L19" s="29"/>
      <c r="M19" s="29"/>
      <c r="N19" s="29" t="n">
        <v>4</v>
      </c>
      <c r="O19" s="29"/>
      <c r="P19" s="29"/>
      <c r="Q19" s="29" t="n">
        <v>4</v>
      </c>
      <c r="R19" s="29"/>
      <c r="S19" s="29"/>
      <c r="T19" s="29"/>
      <c r="U19" s="29"/>
      <c r="V19" s="29"/>
      <c r="W19" s="29" t="n">
        <v>10</v>
      </c>
      <c r="X19" s="29"/>
      <c r="Y19" s="29"/>
      <c r="Z19" s="29" t="n">
        <v>10</v>
      </c>
      <c r="AA19" s="29"/>
      <c r="AB19" s="29"/>
      <c r="AC19" s="29" t="n">
        <v>6</v>
      </c>
      <c r="AD19" s="29"/>
      <c r="AE19" s="29"/>
      <c r="AF19" s="29" t="n">
        <v>4</v>
      </c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 t="n">
        <v>4</v>
      </c>
      <c r="AS19" s="29"/>
      <c r="AT19" s="29"/>
      <c r="AU19" s="29" t="n">
        <v>415</v>
      </c>
      <c r="AV19" s="29"/>
      <c r="AW19" s="29"/>
      <c r="AX19" s="29"/>
      <c r="AY19" s="29"/>
      <c r="AZ19" s="29"/>
    </row>
    <row r="20" customFormat="false" ht="15.75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</v>
      </c>
      <c r="I20" s="29"/>
      <c r="J20" s="29"/>
      <c r="K20" s="29" t="n">
        <v>1</v>
      </c>
      <c r="L20" s="29"/>
      <c r="M20" s="29"/>
      <c r="N20" s="29" t="n">
        <v>2</v>
      </c>
      <c r="O20" s="29"/>
      <c r="P20" s="29"/>
      <c r="Q20" s="29" t="n">
        <v>2</v>
      </c>
      <c r="R20" s="29"/>
      <c r="S20" s="29"/>
      <c r="T20" s="29" t="n">
        <v>2</v>
      </c>
      <c r="U20" s="29"/>
      <c r="V20" s="29"/>
      <c r="W20" s="29" t="n">
        <v>9</v>
      </c>
      <c r="X20" s="29"/>
      <c r="Y20" s="29"/>
      <c r="Z20" s="29" t="n">
        <v>3</v>
      </c>
      <c r="AA20" s="29"/>
      <c r="AB20" s="29"/>
      <c r="AC20" s="29" t="n">
        <v>1</v>
      </c>
      <c r="AD20" s="29"/>
      <c r="AE20" s="29"/>
      <c r="AF20" s="29"/>
      <c r="AG20" s="29"/>
      <c r="AH20" s="29"/>
      <c r="AI20" s="29" t="n">
        <v>4</v>
      </c>
      <c r="AJ20" s="29"/>
      <c r="AK20" s="29"/>
      <c r="AL20" s="29"/>
      <c r="AM20" s="29"/>
      <c r="AN20" s="29"/>
      <c r="AO20" s="29" t="n">
        <v>1</v>
      </c>
      <c r="AP20" s="29"/>
      <c r="AQ20" s="29"/>
      <c r="AR20" s="29" t="n">
        <v>2</v>
      </c>
      <c r="AS20" s="29"/>
      <c r="AT20" s="29"/>
      <c r="AU20" s="29" t="n">
        <v>360</v>
      </c>
      <c r="AV20" s="29"/>
      <c r="AW20" s="29"/>
      <c r="AX20" s="29" t="n">
        <v>2</v>
      </c>
      <c r="AY20" s="29"/>
      <c r="AZ20" s="29"/>
    </row>
    <row r="21" customFormat="false" ht="15.75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4</v>
      </c>
      <c r="I21" s="29"/>
      <c r="J21" s="29"/>
      <c r="K21" s="29" t="n">
        <v>1</v>
      </c>
      <c r="L21" s="29"/>
      <c r="M21" s="29"/>
      <c r="N21" s="29" t="n">
        <v>2</v>
      </c>
      <c r="O21" s="29"/>
      <c r="P21" s="29"/>
      <c r="Q21" s="29" t="n">
        <v>2</v>
      </c>
      <c r="R21" s="29"/>
      <c r="S21" s="29"/>
      <c r="T21" s="29"/>
      <c r="U21" s="29"/>
      <c r="V21" s="29"/>
      <c r="W21" s="29" t="n">
        <v>8</v>
      </c>
      <c r="X21" s="29"/>
      <c r="Y21" s="29"/>
      <c r="Z21" s="29" t="n">
        <v>6</v>
      </c>
      <c r="AA21" s="29"/>
      <c r="AB21" s="29"/>
      <c r="AC21" s="29" t="n">
        <v>2</v>
      </c>
      <c r="AD21" s="29"/>
      <c r="AE21" s="29"/>
      <c r="AF21" s="29" t="n">
        <v>2</v>
      </c>
      <c r="AG21" s="29"/>
      <c r="AH21" s="29"/>
      <c r="AI21" s="29" t="n">
        <v>1</v>
      </c>
      <c r="AJ21" s="29"/>
      <c r="AK21" s="29"/>
      <c r="AL21" s="29"/>
      <c r="AM21" s="29"/>
      <c r="AN21" s="29"/>
      <c r="AO21" s="29"/>
      <c r="AP21" s="29"/>
      <c r="AQ21" s="29"/>
      <c r="AR21" s="29" t="n">
        <v>2</v>
      </c>
      <c r="AS21" s="29"/>
      <c r="AT21" s="29"/>
      <c r="AU21" s="29" t="n">
        <v>410</v>
      </c>
      <c r="AV21" s="29"/>
      <c r="AW21" s="29"/>
      <c r="AX21" s="29"/>
      <c r="AY21" s="29"/>
      <c r="AZ21" s="29"/>
    </row>
    <row r="22" customFormat="false" ht="15.75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/>
      <c r="I22" s="29"/>
      <c r="J22" s="29"/>
      <c r="K22" s="29" t="n">
        <v>1</v>
      </c>
      <c r="L22" s="29"/>
      <c r="M22" s="29"/>
      <c r="N22" s="29" t="n">
        <v>3</v>
      </c>
      <c r="O22" s="29"/>
      <c r="P22" s="29"/>
      <c r="Q22" s="29" t="n">
        <v>3</v>
      </c>
      <c r="R22" s="29"/>
      <c r="S22" s="29"/>
      <c r="T22" s="29"/>
      <c r="U22" s="29"/>
      <c r="V22" s="29"/>
      <c r="W22" s="29" t="n">
        <v>7</v>
      </c>
      <c r="X22" s="29"/>
      <c r="Y22" s="29"/>
      <c r="Z22" s="29" t="n">
        <v>7</v>
      </c>
      <c r="AA22" s="29"/>
      <c r="AB22" s="29"/>
      <c r="AC22" s="29"/>
      <c r="AD22" s="29"/>
      <c r="AE22" s="29"/>
      <c r="AF22" s="29" t="n">
        <v>4</v>
      </c>
      <c r="AG22" s="29"/>
      <c r="AH22" s="29"/>
      <c r="AI22" s="29" t="n">
        <v>4</v>
      </c>
      <c r="AJ22" s="29"/>
      <c r="AK22" s="29"/>
      <c r="AL22" s="29"/>
      <c r="AM22" s="29"/>
      <c r="AN22" s="29"/>
      <c r="AO22" s="29"/>
      <c r="AP22" s="29"/>
      <c r="AQ22" s="29"/>
      <c r="AR22" s="29" t="n">
        <v>2</v>
      </c>
      <c r="AS22" s="29"/>
      <c r="AT22" s="29"/>
      <c r="AU22" s="29" t="n">
        <v>470</v>
      </c>
      <c r="AV22" s="29"/>
      <c r="AW22" s="29"/>
      <c r="AX22" s="29" t="n">
        <v>1</v>
      </c>
      <c r="AY22" s="29"/>
      <c r="AZ22" s="29"/>
    </row>
    <row r="23" customFormat="false" ht="15.75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4</v>
      </c>
      <c r="I23" s="29"/>
      <c r="J23" s="29"/>
      <c r="K23" s="29" t="n">
        <v>1</v>
      </c>
      <c r="L23" s="29"/>
      <c r="M23" s="29"/>
      <c r="N23" s="29" t="n">
        <v>7</v>
      </c>
      <c r="O23" s="29"/>
      <c r="P23" s="29"/>
      <c r="Q23" s="29" t="n">
        <v>7</v>
      </c>
      <c r="R23" s="29"/>
      <c r="S23" s="29"/>
      <c r="T23" s="29"/>
      <c r="U23" s="29"/>
      <c r="V23" s="29"/>
      <c r="W23" s="29" t="n">
        <v>11</v>
      </c>
      <c r="X23" s="29"/>
      <c r="Y23" s="29"/>
      <c r="Z23" s="29" t="n">
        <v>10</v>
      </c>
      <c r="AA23" s="29"/>
      <c r="AB23" s="29"/>
      <c r="AC23" s="29" t="n">
        <v>10</v>
      </c>
      <c r="AD23" s="29"/>
      <c r="AE23" s="29"/>
      <c r="AF23" s="29" t="n">
        <v>9</v>
      </c>
      <c r="AG23" s="29"/>
      <c r="AH23" s="29"/>
      <c r="AI23" s="29" t="n">
        <v>1</v>
      </c>
      <c r="AJ23" s="29"/>
      <c r="AK23" s="29"/>
      <c r="AL23" s="29"/>
      <c r="AM23" s="29"/>
      <c r="AN23" s="29"/>
      <c r="AO23" s="29"/>
      <c r="AP23" s="29"/>
      <c r="AQ23" s="29"/>
      <c r="AR23" s="29" t="n">
        <v>2</v>
      </c>
      <c r="AS23" s="29"/>
      <c r="AT23" s="29"/>
      <c r="AU23" s="29" t="n">
        <v>420</v>
      </c>
      <c r="AV23" s="29"/>
      <c r="AW23" s="29"/>
      <c r="AX23" s="29"/>
      <c r="AY23" s="29"/>
      <c r="AZ23" s="29"/>
    </row>
    <row r="24" customFormat="false" ht="15.75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 t="n">
        <v>10</v>
      </c>
      <c r="I24" s="29"/>
      <c r="J24" s="29"/>
      <c r="K24" s="29" t="n">
        <v>1</v>
      </c>
      <c r="L24" s="29"/>
      <c r="M24" s="29"/>
      <c r="N24" s="29" t="n">
        <v>7</v>
      </c>
      <c r="O24" s="29"/>
      <c r="P24" s="29"/>
      <c r="Q24" s="29" t="n">
        <v>7</v>
      </c>
      <c r="R24" s="29"/>
      <c r="S24" s="29"/>
      <c r="T24" s="29" t="n">
        <v>6</v>
      </c>
      <c r="U24" s="29"/>
      <c r="V24" s="29"/>
      <c r="W24" s="29" t="n">
        <v>40</v>
      </c>
      <c r="X24" s="29"/>
      <c r="Y24" s="29"/>
      <c r="Z24" s="29" t="n">
        <v>5</v>
      </c>
      <c r="AA24" s="29"/>
      <c r="AB24" s="29"/>
      <c r="AC24" s="29" t="n">
        <v>49</v>
      </c>
      <c r="AD24" s="29"/>
      <c r="AE24" s="29"/>
      <c r="AF24" s="29" t="n">
        <v>18</v>
      </c>
      <c r="AG24" s="29"/>
      <c r="AH24" s="29"/>
      <c r="AI24" s="29" t="n">
        <v>26</v>
      </c>
      <c r="AJ24" s="29"/>
      <c r="AK24" s="29"/>
      <c r="AL24" s="29"/>
      <c r="AM24" s="29"/>
      <c r="AN24" s="29"/>
      <c r="AO24" s="29" t="n">
        <v>1</v>
      </c>
      <c r="AP24" s="29"/>
      <c r="AQ24" s="29"/>
      <c r="AR24" s="29" t="n">
        <v>5</v>
      </c>
      <c r="AS24" s="29"/>
      <c r="AT24" s="29"/>
      <c r="AU24" s="29" t="n">
        <v>90</v>
      </c>
      <c r="AV24" s="29"/>
      <c r="AW24" s="29"/>
      <c r="AX24" s="29" t="n">
        <v>3</v>
      </c>
      <c r="AY24" s="29"/>
      <c r="AZ24" s="29"/>
    </row>
    <row r="25" customFormat="false" ht="15.75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3</v>
      </c>
      <c r="I25" s="29"/>
      <c r="J25" s="29"/>
      <c r="K25" s="29" t="n">
        <v>1</v>
      </c>
      <c r="L25" s="29"/>
      <c r="M25" s="29"/>
      <c r="N25" s="29" t="n">
        <v>3</v>
      </c>
      <c r="O25" s="29"/>
      <c r="P25" s="29"/>
      <c r="Q25" s="29" t="n">
        <v>3</v>
      </c>
      <c r="R25" s="29"/>
      <c r="S25" s="29"/>
      <c r="T25" s="29"/>
      <c r="U25" s="29"/>
      <c r="V25" s="29"/>
      <c r="W25" s="29" t="n">
        <v>5</v>
      </c>
      <c r="X25" s="29"/>
      <c r="Y25" s="29"/>
      <c r="Z25" s="29" t="n">
        <v>5</v>
      </c>
      <c r="AA25" s="29"/>
      <c r="AB25" s="29"/>
      <c r="AC25" s="29" t="n">
        <v>2</v>
      </c>
      <c r="AD25" s="29"/>
      <c r="AE25" s="29"/>
      <c r="AF25" s="29" t="n">
        <v>4</v>
      </c>
      <c r="AG25" s="29"/>
      <c r="AH25" s="29"/>
      <c r="AI25" s="29" t="n">
        <v>2</v>
      </c>
      <c r="AJ25" s="29"/>
      <c r="AK25" s="29"/>
      <c r="AL25" s="29"/>
      <c r="AM25" s="29"/>
      <c r="AN25" s="29"/>
      <c r="AO25" s="29"/>
      <c r="AP25" s="29"/>
      <c r="AQ25" s="29"/>
      <c r="AR25" s="29" t="n">
        <v>3</v>
      </c>
      <c r="AS25" s="29"/>
      <c r="AT25" s="29"/>
      <c r="AU25" s="29" t="n">
        <v>430</v>
      </c>
      <c r="AV25" s="29"/>
      <c r="AW25" s="29"/>
      <c r="AX25" s="29"/>
      <c r="AY25" s="29"/>
      <c r="AZ25" s="29"/>
    </row>
    <row r="26" customFormat="false" ht="15.75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 t="n">
        <v>4</v>
      </c>
      <c r="I26" s="29"/>
      <c r="J26" s="29"/>
      <c r="K26" s="29" t="n">
        <v>1</v>
      </c>
      <c r="L26" s="29"/>
      <c r="M26" s="29"/>
      <c r="N26" s="29" t="n">
        <v>5</v>
      </c>
      <c r="O26" s="29"/>
      <c r="P26" s="29"/>
      <c r="Q26" s="29" t="n">
        <v>5</v>
      </c>
      <c r="R26" s="29"/>
      <c r="S26" s="29"/>
      <c r="T26" s="29" t="n">
        <v>1</v>
      </c>
      <c r="U26" s="29"/>
      <c r="V26" s="29"/>
      <c r="W26" s="29" t="n">
        <v>11</v>
      </c>
      <c r="X26" s="29"/>
      <c r="Y26" s="29"/>
      <c r="Z26" s="29" t="n">
        <v>3</v>
      </c>
      <c r="AA26" s="29"/>
      <c r="AB26" s="29"/>
      <c r="AC26" s="29" t="n">
        <v>6</v>
      </c>
      <c r="AD26" s="29"/>
      <c r="AE26" s="29"/>
      <c r="AF26" s="29" t="n">
        <v>12</v>
      </c>
      <c r="AG26" s="29"/>
      <c r="AH26" s="29"/>
      <c r="AI26" s="29" t="n">
        <v>20</v>
      </c>
      <c r="AJ26" s="29"/>
      <c r="AK26" s="29"/>
      <c r="AL26" s="29"/>
      <c r="AM26" s="29"/>
      <c r="AN26" s="29"/>
      <c r="AO26" s="29" t="n">
        <v>1</v>
      </c>
      <c r="AP26" s="29"/>
      <c r="AQ26" s="29"/>
      <c r="AR26" s="29" t="n">
        <v>3</v>
      </c>
      <c r="AS26" s="29"/>
      <c r="AT26" s="29"/>
      <c r="AU26" s="29" t="n">
        <v>40</v>
      </c>
      <c r="AV26" s="29"/>
      <c r="AW26" s="29"/>
      <c r="AX26" s="29" t="n">
        <v>2</v>
      </c>
      <c r="AY26" s="29"/>
      <c r="AZ26" s="29"/>
    </row>
    <row r="27" customFormat="false" ht="15.75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4</v>
      </c>
      <c r="I27" s="29"/>
      <c r="J27" s="29"/>
      <c r="K27" s="29" t="n">
        <v>1</v>
      </c>
      <c r="L27" s="29"/>
      <c r="M27" s="29"/>
      <c r="N27" s="29" t="n">
        <v>3</v>
      </c>
      <c r="O27" s="29"/>
      <c r="P27" s="29"/>
      <c r="Q27" s="29" t="n">
        <v>3</v>
      </c>
      <c r="R27" s="29"/>
      <c r="S27" s="29"/>
      <c r="T27" s="29"/>
      <c r="U27" s="29"/>
      <c r="V27" s="29"/>
      <c r="W27" s="29" t="n">
        <v>9</v>
      </c>
      <c r="X27" s="29"/>
      <c r="Y27" s="29"/>
      <c r="Z27" s="29" t="n">
        <v>5</v>
      </c>
      <c r="AA27" s="29"/>
      <c r="AB27" s="29"/>
      <c r="AC27" s="29"/>
      <c r="AD27" s="29"/>
      <c r="AE27" s="29"/>
      <c r="AF27" s="29" t="n">
        <v>6</v>
      </c>
      <c r="AG27" s="29"/>
      <c r="AH27" s="29"/>
      <c r="AI27" s="29" t="n">
        <v>3</v>
      </c>
      <c r="AJ27" s="29"/>
      <c r="AK27" s="29"/>
      <c r="AL27" s="29"/>
      <c r="AM27" s="29"/>
      <c r="AN27" s="29"/>
      <c r="AO27" s="29"/>
      <c r="AP27" s="29"/>
      <c r="AQ27" s="29"/>
      <c r="AR27" s="29" t="n">
        <v>3</v>
      </c>
      <c r="AS27" s="29"/>
      <c r="AT27" s="29"/>
      <c r="AU27" s="29" t="n">
        <v>380</v>
      </c>
      <c r="AV27" s="29"/>
      <c r="AW27" s="29"/>
      <c r="AX27" s="29"/>
      <c r="AY27" s="29"/>
      <c r="AZ27" s="29"/>
    </row>
    <row r="28" customFormat="false" ht="15.75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 t="n">
        <v>9</v>
      </c>
      <c r="I28" s="29"/>
      <c r="J28" s="29"/>
      <c r="K28" s="29" t="n">
        <v>1</v>
      </c>
      <c r="L28" s="29"/>
      <c r="M28" s="29"/>
      <c r="N28" s="29" t="n">
        <v>3</v>
      </c>
      <c r="O28" s="29"/>
      <c r="P28" s="29"/>
      <c r="Q28" s="29" t="n">
        <v>6</v>
      </c>
      <c r="R28" s="29"/>
      <c r="S28" s="29"/>
      <c r="T28" s="29" t="n">
        <v>2</v>
      </c>
      <c r="U28" s="29"/>
      <c r="V28" s="29"/>
      <c r="W28" s="29" t="n">
        <v>30</v>
      </c>
      <c r="X28" s="29"/>
      <c r="Y28" s="29"/>
      <c r="Z28" s="29" t="n">
        <v>7</v>
      </c>
      <c r="AA28" s="29"/>
      <c r="AB28" s="29"/>
      <c r="AC28" s="29"/>
      <c r="AD28" s="29"/>
      <c r="AE28" s="29"/>
      <c r="AF28" s="29" t="n">
        <v>5</v>
      </c>
      <c r="AG28" s="29"/>
      <c r="AH28" s="29"/>
      <c r="AI28" s="29" t="n">
        <v>4</v>
      </c>
      <c r="AJ28" s="29"/>
      <c r="AK28" s="29"/>
      <c r="AL28" s="29" t="n">
        <v>3</v>
      </c>
      <c r="AM28" s="29"/>
      <c r="AN28" s="29"/>
      <c r="AO28" s="29" t="n">
        <v>1</v>
      </c>
      <c r="AP28" s="29"/>
      <c r="AQ28" s="29"/>
      <c r="AR28" s="29" t="n">
        <v>4</v>
      </c>
      <c r="AS28" s="29"/>
      <c r="AT28" s="29"/>
      <c r="AU28" s="29" t="n">
        <v>50</v>
      </c>
      <c r="AV28" s="29"/>
      <c r="AW28" s="29"/>
      <c r="AX28" s="29" t="n">
        <v>3</v>
      </c>
      <c r="AY28" s="29"/>
      <c r="AZ28" s="29"/>
    </row>
    <row r="29" customFormat="false" ht="15.75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9</v>
      </c>
      <c r="I29" s="29"/>
      <c r="J29" s="29"/>
      <c r="K29" s="29" t="n">
        <v>1</v>
      </c>
      <c r="L29" s="29"/>
      <c r="M29" s="29"/>
      <c r="N29" s="29" t="n">
        <v>3</v>
      </c>
      <c r="O29" s="29"/>
      <c r="P29" s="29"/>
      <c r="Q29" s="29" t="n">
        <v>5</v>
      </c>
      <c r="R29" s="29"/>
      <c r="S29" s="29"/>
      <c r="T29" s="29" t="n">
        <v>5</v>
      </c>
      <c r="U29" s="29"/>
      <c r="V29" s="29"/>
      <c r="W29" s="29" t="n">
        <v>23</v>
      </c>
      <c r="X29" s="29"/>
      <c r="Y29" s="29"/>
      <c r="Z29" s="29" t="n">
        <v>8</v>
      </c>
      <c r="AA29" s="29"/>
      <c r="AB29" s="29"/>
      <c r="AC29" s="29"/>
      <c r="AD29" s="29"/>
      <c r="AE29" s="29"/>
      <c r="AF29" s="29"/>
      <c r="AG29" s="29"/>
      <c r="AH29" s="29"/>
      <c r="AI29" s="29" t="n">
        <v>6</v>
      </c>
      <c r="AJ29" s="29"/>
      <c r="AK29" s="29"/>
      <c r="AL29" s="29" t="n">
        <v>2</v>
      </c>
      <c r="AM29" s="29"/>
      <c r="AN29" s="29"/>
      <c r="AO29" s="29" t="n">
        <v>3</v>
      </c>
      <c r="AP29" s="29"/>
      <c r="AQ29" s="29"/>
      <c r="AR29" s="29" t="n">
        <v>3</v>
      </c>
      <c r="AS29" s="29"/>
      <c r="AT29" s="29"/>
      <c r="AU29" s="29" t="n">
        <v>350</v>
      </c>
      <c r="AV29" s="29"/>
      <c r="AW29" s="29"/>
      <c r="AX29" s="29" t="n">
        <v>4</v>
      </c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83</v>
      </c>
      <c r="I30" s="29"/>
      <c r="J30" s="29"/>
      <c r="K30" s="29" t="n">
        <f aca="false">SUM(K15:M29)</f>
        <v>14</v>
      </c>
      <c r="L30" s="29"/>
      <c r="M30" s="29"/>
      <c r="N30" s="29" t="n">
        <f aca="false">SUM(N15:P29)</f>
        <v>55</v>
      </c>
      <c r="O30" s="29"/>
      <c r="P30" s="29"/>
      <c r="Q30" s="29" t="n">
        <f aca="false">SUM(Q15:S29)</f>
        <v>60</v>
      </c>
      <c r="R30" s="29"/>
      <c r="S30" s="29"/>
      <c r="T30" s="29" t="n">
        <f aca="false">SUM(T15:V29)</f>
        <v>25</v>
      </c>
      <c r="U30" s="29"/>
      <c r="V30" s="29"/>
      <c r="W30" s="29" t="n">
        <f aca="false">SUM(W15:Y29)</f>
        <v>260</v>
      </c>
      <c r="X30" s="29"/>
      <c r="Y30" s="29"/>
      <c r="Z30" s="29" t="n">
        <f aca="false">SUM(Z15:AB29)</f>
        <v>97</v>
      </c>
      <c r="AA30" s="29"/>
      <c r="AB30" s="29"/>
      <c r="AC30" s="29" t="n">
        <f aca="false">SUM(AC15:AE29)</f>
        <v>113</v>
      </c>
      <c r="AD30" s="29"/>
      <c r="AE30" s="29"/>
      <c r="AF30" s="29" t="n">
        <f aca="false">SUM(AF15:AH29)</f>
        <v>75</v>
      </c>
      <c r="AG30" s="29"/>
      <c r="AH30" s="29"/>
      <c r="AI30" s="29" t="n">
        <f aca="false">SUM(AI15:AK29)</f>
        <v>78</v>
      </c>
      <c r="AJ30" s="29"/>
      <c r="AK30" s="29"/>
      <c r="AL30" s="29" t="n">
        <f aca="false">SUM(AL15:AN29)</f>
        <v>5</v>
      </c>
      <c r="AM30" s="29"/>
      <c r="AN30" s="29"/>
      <c r="AO30" s="29" t="n">
        <f aca="false">SUM(AO15:AQ29)</f>
        <v>12</v>
      </c>
      <c r="AP30" s="29"/>
      <c r="AQ30" s="29"/>
      <c r="AR30" s="29" t="n">
        <f aca="false">SUM(AR15:AT29)</f>
        <v>40</v>
      </c>
      <c r="AS30" s="29"/>
      <c r="AT30" s="29"/>
      <c r="AU30" s="29" t="n">
        <f aca="false">SUM(AU15:AW29)</f>
        <v>4255</v>
      </c>
      <c r="AV30" s="29"/>
      <c r="AW30" s="29"/>
      <c r="AX30" s="29" t="n">
        <f aca="false">SUM(AX15:AZ29)</f>
        <v>25</v>
      </c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7.2</v>
      </c>
      <c r="I31" s="32"/>
      <c r="J31" s="32"/>
      <c r="K31" s="32" t="n">
        <v>164.484</v>
      </c>
      <c r="L31" s="32"/>
      <c r="M31" s="32"/>
      <c r="N31" s="32" t="n">
        <v>5.4</v>
      </c>
      <c r="O31" s="32"/>
      <c r="P31" s="32"/>
      <c r="Q31" s="32" t="n">
        <v>27.018</v>
      </c>
      <c r="R31" s="32"/>
      <c r="S31" s="32"/>
      <c r="T31" s="32" t="n">
        <v>18.009</v>
      </c>
      <c r="U31" s="32"/>
      <c r="V31" s="32"/>
      <c r="W31" s="32" t="n">
        <v>21.015</v>
      </c>
      <c r="X31" s="32"/>
      <c r="Y31" s="32"/>
      <c r="Z31" s="32" t="n">
        <v>3.006</v>
      </c>
      <c r="AA31" s="32"/>
      <c r="AB31" s="32"/>
      <c r="AC31" s="32" t="n">
        <v>4.203</v>
      </c>
      <c r="AD31" s="32"/>
      <c r="AE31" s="32"/>
      <c r="AF31" s="32" t="n">
        <v>4.806</v>
      </c>
      <c r="AG31" s="32"/>
      <c r="AH31" s="32"/>
      <c r="AI31" s="32" t="n">
        <v>6.606</v>
      </c>
      <c r="AJ31" s="32"/>
      <c r="AK31" s="32"/>
      <c r="AL31" s="32" t="n">
        <v>6.003</v>
      </c>
      <c r="AM31" s="32"/>
      <c r="AN31" s="32"/>
      <c r="AO31" s="32" t="n">
        <v>18.009</v>
      </c>
      <c r="AP31" s="32"/>
      <c r="AQ31" s="32"/>
      <c r="AR31" s="32" t="n">
        <v>21.015</v>
      </c>
      <c r="AS31" s="32"/>
      <c r="AT31" s="32"/>
      <c r="AU31" s="32" t="n">
        <v>0.9</v>
      </c>
      <c r="AV31" s="32"/>
      <c r="AW31" s="32"/>
      <c r="AX31" s="32" t="n">
        <v>12.006</v>
      </c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597.6</v>
      </c>
      <c r="I32" s="34"/>
      <c r="J32" s="34"/>
      <c r="K32" s="34" t="n">
        <f aca="false">K30*K31</f>
        <v>2302.776</v>
      </c>
      <c r="L32" s="34"/>
      <c r="M32" s="34"/>
      <c r="N32" s="34" t="n">
        <f aca="false">N30*N31</f>
        <v>297</v>
      </c>
      <c r="O32" s="34"/>
      <c r="P32" s="34"/>
      <c r="Q32" s="34" t="n">
        <f aca="false">Q30*Q31</f>
        <v>1621.08</v>
      </c>
      <c r="R32" s="34"/>
      <c r="S32" s="34"/>
      <c r="T32" s="34" t="n">
        <f aca="false">T30*T31</f>
        <v>450.225</v>
      </c>
      <c r="U32" s="34"/>
      <c r="V32" s="34"/>
      <c r="W32" s="34" t="n">
        <f aca="false">W30*W31</f>
        <v>5463.9</v>
      </c>
      <c r="X32" s="34"/>
      <c r="Y32" s="34"/>
      <c r="Z32" s="34" t="n">
        <f aca="false">Z30*Z31</f>
        <v>291.582</v>
      </c>
      <c r="AA32" s="34"/>
      <c r="AB32" s="34"/>
      <c r="AC32" s="34" t="n">
        <f aca="false">AC30*AC31</f>
        <v>474.939</v>
      </c>
      <c r="AD32" s="34"/>
      <c r="AE32" s="34"/>
      <c r="AF32" s="34" t="n">
        <f aca="false">AF30*AF31</f>
        <v>360.45</v>
      </c>
      <c r="AG32" s="34"/>
      <c r="AH32" s="34"/>
      <c r="AI32" s="34" t="n">
        <f aca="false">AI30*AI31</f>
        <v>515.268</v>
      </c>
      <c r="AJ32" s="34"/>
      <c r="AK32" s="34"/>
      <c r="AL32" s="34" t="n">
        <f aca="false">AL30*AL31</f>
        <v>30.015</v>
      </c>
      <c r="AM32" s="34"/>
      <c r="AN32" s="34"/>
      <c r="AO32" s="34" t="n">
        <f aca="false">AO30*AO31</f>
        <v>216.108</v>
      </c>
      <c r="AP32" s="34"/>
      <c r="AQ32" s="34"/>
      <c r="AR32" s="34" t="n">
        <f aca="false">AR30*AR31</f>
        <v>840.6</v>
      </c>
      <c r="AS32" s="34"/>
      <c r="AT32" s="34"/>
      <c r="AU32" s="34" t="n">
        <f aca="false">AU30*AU31</f>
        <v>3829.5</v>
      </c>
      <c r="AV32" s="34"/>
      <c r="AW32" s="34"/>
      <c r="AX32" s="34" t="n">
        <f aca="false">AX30*AX31</f>
        <v>300.15</v>
      </c>
      <c r="AY32" s="34"/>
      <c r="AZ32" s="34"/>
    </row>
    <row r="33" customFormat="false" ht="15.7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17591.193</v>
      </c>
      <c r="AW33" s="38"/>
      <c r="AX33" s="38"/>
      <c r="AY33" s="38"/>
      <c r="AZ33" s="38"/>
    </row>
    <row r="34" customFormat="false" ht="15.7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5.7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5.7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5.7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3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118</v>
      </c>
      <c r="I9" s="20"/>
      <c r="J9" s="20"/>
      <c r="K9" s="20" t="s">
        <v>123</v>
      </c>
      <c r="L9" s="20"/>
      <c r="M9" s="20"/>
      <c r="N9" s="20" t="s">
        <v>123</v>
      </c>
      <c r="O9" s="20"/>
      <c r="P9" s="20"/>
      <c r="Q9" s="20" t="s">
        <v>124</v>
      </c>
      <c r="R9" s="20"/>
      <c r="S9" s="20"/>
      <c r="T9" s="20" t="s">
        <v>125</v>
      </c>
      <c r="U9" s="20"/>
      <c r="V9" s="20"/>
      <c r="W9" s="20" t="s">
        <v>126</v>
      </c>
      <c r="X9" s="20"/>
      <c r="Y9" s="20"/>
      <c r="Z9" s="20" t="s">
        <v>127</v>
      </c>
      <c r="AA9" s="20"/>
      <c r="AB9" s="20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33</v>
      </c>
      <c r="I10" s="24"/>
      <c r="J10" s="24"/>
      <c r="K10" s="24" t="s">
        <v>32</v>
      </c>
      <c r="L10" s="24"/>
      <c r="M10" s="24"/>
      <c r="N10" s="24" t="s">
        <v>33</v>
      </c>
      <c r="O10" s="24"/>
      <c r="P10" s="24"/>
      <c r="Q10" s="24" t="s">
        <v>32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32</v>
      </c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128</v>
      </c>
      <c r="I11" s="25"/>
      <c r="J11" s="25"/>
      <c r="K11" s="25" t="s">
        <v>129</v>
      </c>
      <c r="L11" s="25"/>
      <c r="M11" s="25"/>
      <c r="N11" s="25" t="s">
        <v>130</v>
      </c>
      <c r="O11" s="25"/>
      <c r="P11" s="25"/>
      <c r="Q11" s="25" t="s">
        <v>131</v>
      </c>
      <c r="R11" s="25"/>
      <c r="S11" s="25"/>
      <c r="T11" s="25" t="s">
        <v>132</v>
      </c>
      <c r="U11" s="25"/>
      <c r="V11" s="25"/>
      <c r="W11" s="25" t="s">
        <v>133</v>
      </c>
      <c r="X11" s="25"/>
      <c r="Y11" s="25"/>
      <c r="Z11" s="25" t="s">
        <v>134</v>
      </c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15.75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5.75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/>
      <c r="I16" s="29"/>
      <c r="J16" s="29"/>
      <c r="K16" s="29" t="n">
        <v>20</v>
      </c>
      <c r="L16" s="29"/>
      <c r="M16" s="29"/>
      <c r="N16" s="29" t="n">
        <v>11</v>
      </c>
      <c r="O16" s="29"/>
      <c r="P16" s="29"/>
      <c r="Q16" s="29" t="n">
        <v>10</v>
      </c>
      <c r="R16" s="29"/>
      <c r="S16" s="29"/>
      <c r="T16" s="29" t="n">
        <v>1</v>
      </c>
      <c r="U16" s="29"/>
      <c r="V16" s="29"/>
      <c r="W16" s="29" t="n">
        <v>35</v>
      </c>
      <c r="X16" s="29"/>
      <c r="Y16" s="29"/>
      <c r="Z16" s="29" t="n">
        <v>10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</row>
    <row r="17" customFormat="false" ht="15.75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6</v>
      </c>
      <c r="I17" s="29"/>
      <c r="J17" s="29"/>
      <c r="K17" s="29" t="n">
        <v>40</v>
      </c>
      <c r="L17" s="29"/>
      <c r="M17" s="29"/>
      <c r="N17" s="29" t="n">
        <v>10</v>
      </c>
      <c r="O17" s="29"/>
      <c r="P17" s="29"/>
      <c r="Q17" s="29" t="n">
        <v>25</v>
      </c>
      <c r="R17" s="29"/>
      <c r="S17" s="29"/>
      <c r="T17" s="29" t="n">
        <v>5</v>
      </c>
      <c r="U17" s="29"/>
      <c r="V17" s="29"/>
      <c r="W17" s="29" t="n">
        <v>40</v>
      </c>
      <c r="X17" s="29"/>
      <c r="Y17" s="29"/>
      <c r="Z17" s="29" t="n">
        <v>15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</row>
    <row r="18" customFormat="false" ht="15.75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5</v>
      </c>
      <c r="I18" s="29"/>
      <c r="J18" s="29"/>
      <c r="K18" s="29" t="n">
        <v>35</v>
      </c>
      <c r="L18" s="29"/>
      <c r="M18" s="29"/>
      <c r="N18" s="29" t="n">
        <v>20</v>
      </c>
      <c r="O18" s="29"/>
      <c r="P18" s="29"/>
      <c r="Q18" s="29" t="n">
        <v>30</v>
      </c>
      <c r="R18" s="29"/>
      <c r="S18" s="29"/>
      <c r="T18" s="29" t="n">
        <v>2</v>
      </c>
      <c r="U18" s="29"/>
      <c r="V18" s="29"/>
      <c r="W18" s="29" t="n">
        <v>75</v>
      </c>
      <c r="X18" s="29"/>
      <c r="Y18" s="29"/>
      <c r="Z18" s="29" t="n">
        <v>12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</row>
    <row r="19" customFormat="false" ht="15.75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9</v>
      </c>
      <c r="I19" s="29"/>
      <c r="J19" s="29"/>
      <c r="K19" s="29" t="n">
        <v>25</v>
      </c>
      <c r="L19" s="29"/>
      <c r="M19" s="29"/>
      <c r="N19" s="29" t="n">
        <v>18</v>
      </c>
      <c r="O19" s="29"/>
      <c r="P19" s="29"/>
      <c r="Q19" s="29" t="n">
        <v>40</v>
      </c>
      <c r="R19" s="29"/>
      <c r="S19" s="29"/>
      <c r="T19" s="29" t="n">
        <v>5</v>
      </c>
      <c r="U19" s="29"/>
      <c r="V19" s="29"/>
      <c r="W19" s="29" t="n">
        <v>85</v>
      </c>
      <c r="X19" s="29"/>
      <c r="Y19" s="29"/>
      <c r="Z19" s="29" t="n">
        <v>8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</row>
    <row r="20" customFormat="false" ht="15.75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</v>
      </c>
      <c r="I20" s="29"/>
      <c r="J20" s="29"/>
      <c r="K20" s="29" t="n">
        <v>40</v>
      </c>
      <c r="L20" s="29"/>
      <c r="M20" s="29"/>
      <c r="N20" s="29" t="n">
        <v>24</v>
      </c>
      <c r="O20" s="29"/>
      <c r="P20" s="29"/>
      <c r="Q20" s="29" t="n">
        <v>30</v>
      </c>
      <c r="R20" s="29"/>
      <c r="S20" s="29"/>
      <c r="T20" s="29" t="n">
        <v>2</v>
      </c>
      <c r="U20" s="29"/>
      <c r="V20" s="29"/>
      <c r="W20" s="29" t="n">
        <v>70</v>
      </c>
      <c r="X20" s="29"/>
      <c r="Y20" s="29"/>
      <c r="Z20" s="29" t="n">
        <v>15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</row>
    <row r="21" customFormat="false" ht="15.75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10</v>
      </c>
      <c r="I21" s="29"/>
      <c r="J21" s="29"/>
      <c r="K21" s="29" t="n">
        <v>30</v>
      </c>
      <c r="L21" s="29"/>
      <c r="M21" s="29"/>
      <c r="N21" s="29" t="n">
        <v>15</v>
      </c>
      <c r="O21" s="29"/>
      <c r="P21" s="29"/>
      <c r="Q21" s="29" t="n">
        <v>45</v>
      </c>
      <c r="R21" s="29"/>
      <c r="S21" s="29"/>
      <c r="T21" s="29" t="n">
        <v>4</v>
      </c>
      <c r="U21" s="29"/>
      <c r="V21" s="29"/>
      <c r="W21" s="29" t="n">
        <v>65</v>
      </c>
      <c r="X21" s="29"/>
      <c r="Y21" s="29"/>
      <c r="Z21" s="29" t="n">
        <v>14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5.75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 t="n">
        <v>7</v>
      </c>
      <c r="I22" s="29"/>
      <c r="J22" s="29"/>
      <c r="K22" s="29" t="n">
        <v>20</v>
      </c>
      <c r="L22" s="29"/>
      <c r="M22" s="29"/>
      <c r="N22" s="29" t="n">
        <v>25</v>
      </c>
      <c r="O22" s="29"/>
      <c r="P22" s="29"/>
      <c r="Q22" s="29" t="n">
        <v>40</v>
      </c>
      <c r="R22" s="29"/>
      <c r="S22" s="29"/>
      <c r="T22" s="29" t="n">
        <v>5</v>
      </c>
      <c r="U22" s="29"/>
      <c r="V22" s="29"/>
      <c r="W22" s="29" t="n">
        <v>90</v>
      </c>
      <c r="X22" s="29"/>
      <c r="Y22" s="29"/>
      <c r="Z22" s="29" t="n">
        <v>11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</row>
    <row r="23" customFormat="false" ht="15.75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10</v>
      </c>
      <c r="I23" s="29"/>
      <c r="J23" s="29"/>
      <c r="K23" s="29" t="n">
        <v>25</v>
      </c>
      <c r="L23" s="29"/>
      <c r="M23" s="29"/>
      <c r="N23" s="29" t="n">
        <v>24</v>
      </c>
      <c r="O23" s="29"/>
      <c r="P23" s="29"/>
      <c r="Q23" s="29" t="n">
        <v>35</v>
      </c>
      <c r="R23" s="29"/>
      <c r="S23" s="29"/>
      <c r="T23" s="29" t="n">
        <v>4</v>
      </c>
      <c r="U23" s="29"/>
      <c r="V23" s="29"/>
      <c r="W23" s="29" t="n">
        <v>65</v>
      </c>
      <c r="X23" s="29"/>
      <c r="Y23" s="29"/>
      <c r="Z23" s="29" t="n">
        <v>16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</row>
    <row r="24" customFormat="false" ht="15.75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/>
      <c r="I24" s="29"/>
      <c r="J24" s="29"/>
      <c r="K24" s="29" t="n">
        <v>40</v>
      </c>
      <c r="L24" s="29"/>
      <c r="M24" s="29"/>
      <c r="N24" s="29" t="n">
        <v>18</v>
      </c>
      <c r="O24" s="29"/>
      <c r="P24" s="29"/>
      <c r="Q24" s="29" t="n">
        <v>5</v>
      </c>
      <c r="R24" s="29"/>
      <c r="S24" s="29"/>
      <c r="T24" s="29" t="n">
        <v>2</v>
      </c>
      <c r="U24" s="29"/>
      <c r="V24" s="29"/>
      <c r="W24" s="29"/>
      <c r="X24" s="29"/>
      <c r="Y24" s="29"/>
      <c r="Z24" s="29" t="n">
        <v>6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</row>
    <row r="25" customFormat="false" ht="15.75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10</v>
      </c>
      <c r="I25" s="29"/>
      <c r="J25" s="29"/>
      <c r="K25" s="29" t="n">
        <v>50</v>
      </c>
      <c r="L25" s="29"/>
      <c r="M25" s="29"/>
      <c r="N25" s="29" t="n">
        <v>21</v>
      </c>
      <c r="O25" s="29"/>
      <c r="P25" s="29"/>
      <c r="Q25" s="29" t="n">
        <v>50</v>
      </c>
      <c r="R25" s="29"/>
      <c r="S25" s="29"/>
      <c r="T25" s="29" t="n">
        <v>3</v>
      </c>
      <c r="U25" s="29"/>
      <c r="V25" s="29"/>
      <c r="W25" s="29" t="n">
        <v>85</v>
      </c>
      <c r="X25" s="29"/>
      <c r="Y25" s="29"/>
      <c r="Z25" s="29" t="n">
        <v>12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</row>
    <row r="26" customFormat="false" ht="15.75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/>
      <c r="I26" s="29"/>
      <c r="J26" s="29"/>
      <c r="K26" s="29" t="n">
        <v>35</v>
      </c>
      <c r="L26" s="29"/>
      <c r="M26" s="29"/>
      <c r="N26" s="29" t="n">
        <v>13</v>
      </c>
      <c r="O26" s="29"/>
      <c r="P26" s="29"/>
      <c r="Q26" s="29" t="n">
        <v>5</v>
      </c>
      <c r="R26" s="29"/>
      <c r="S26" s="29"/>
      <c r="T26" s="29" t="n">
        <v>1</v>
      </c>
      <c r="U26" s="29"/>
      <c r="V26" s="29"/>
      <c r="W26" s="29"/>
      <c r="X26" s="29"/>
      <c r="Y26" s="29"/>
      <c r="Z26" s="29" t="n">
        <v>14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</row>
    <row r="27" customFormat="false" ht="15.75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7</v>
      </c>
      <c r="I27" s="29"/>
      <c r="J27" s="29"/>
      <c r="K27" s="29" t="n">
        <v>25</v>
      </c>
      <c r="L27" s="29"/>
      <c r="M27" s="29"/>
      <c r="N27" s="29" t="n">
        <v>24</v>
      </c>
      <c r="O27" s="29"/>
      <c r="P27" s="29"/>
      <c r="Q27" s="29" t="n">
        <v>40</v>
      </c>
      <c r="R27" s="29"/>
      <c r="S27" s="29"/>
      <c r="T27" s="29" t="n">
        <v>4</v>
      </c>
      <c r="U27" s="29"/>
      <c r="V27" s="29"/>
      <c r="W27" s="29" t="n">
        <v>75</v>
      </c>
      <c r="X27" s="29"/>
      <c r="Y27" s="29"/>
      <c r="Z27" s="29" t="n">
        <v>12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</row>
    <row r="28" customFormat="false" ht="15.75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/>
      <c r="I28" s="29"/>
      <c r="J28" s="29"/>
      <c r="K28" s="29" t="n">
        <v>30</v>
      </c>
      <c r="L28" s="29"/>
      <c r="M28" s="29"/>
      <c r="N28" s="29" t="n">
        <v>18</v>
      </c>
      <c r="O28" s="29"/>
      <c r="P28" s="29"/>
      <c r="Q28" s="29" t="n">
        <v>10</v>
      </c>
      <c r="R28" s="29"/>
      <c r="S28" s="29"/>
      <c r="T28" s="29" t="n">
        <v>2</v>
      </c>
      <c r="U28" s="29"/>
      <c r="V28" s="29"/>
      <c r="W28" s="29"/>
      <c r="X28" s="29"/>
      <c r="Y28" s="29"/>
      <c r="Z28" s="29" t="n">
        <v>10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</row>
    <row r="29" customFormat="false" ht="15.75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6</v>
      </c>
      <c r="I29" s="29"/>
      <c r="J29" s="29"/>
      <c r="K29" s="29" t="n">
        <v>45</v>
      </c>
      <c r="L29" s="29"/>
      <c r="M29" s="29"/>
      <c r="N29" s="29" t="n">
        <v>14</v>
      </c>
      <c r="O29" s="29"/>
      <c r="P29" s="29"/>
      <c r="Q29" s="29" t="n">
        <v>45</v>
      </c>
      <c r="R29" s="29"/>
      <c r="S29" s="29"/>
      <c r="T29" s="29" t="n">
        <v>5</v>
      </c>
      <c r="U29" s="29"/>
      <c r="V29" s="29"/>
      <c r="W29" s="29" t="n">
        <v>60</v>
      </c>
      <c r="X29" s="29"/>
      <c r="Y29" s="29"/>
      <c r="Z29" s="29" t="n">
        <v>8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74</v>
      </c>
      <c r="I30" s="29"/>
      <c r="J30" s="29"/>
      <c r="K30" s="29" t="n">
        <f aca="false">SUM(K15:M29)</f>
        <v>460</v>
      </c>
      <c r="L30" s="29"/>
      <c r="M30" s="29"/>
      <c r="N30" s="29" t="n">
        <f aca="false">SUM(N15:P29)</f>
        <v>255</v>
      </c>
      <c r="O30" s="29"/>
      <c r="P30" s="29"/>
      <c r="Q30" s="29" t="n">
        <f aca="false">SUM(Q15:S29)</f>
        <v>410</v>
      </c>
      <c r="R30" s="29"/>
      <c r="S30" s="29"/>
      <c r="T30" s="29" t="n">
        <f aca="false">SUM(T15:V29)</f>
        <v>45</v>
      </c>
      <c r="U30" s="29"/>
      <c r="V30" s="29"/>
      <c r="W30" s="29" t="n">
        <f aca="false">SUM(W15:Y29)</f>
        <v>745</v>
      </c>
      <c r="X30" s="29"/>
      <c r="Y30" s="29"/>
      <c r="Z30" s="29" t="n">
        <f aca="false">SUM(Z15:AB29)</f>
        <v>163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18.009</v>
      </c>
      <c r="I31" s="32"/>
      <c r="J31" s="32"/>
      <c r="K31" s="32" t="n">
        <v>2.097</v>
      </c>
      <c r="L31" s="32"/>
      <c r="M31" s="32"/>
      <c r="N31" s="32" t="n">
        <v>3.006</v>
      </c>
      <c r="O31" s="32"/>
      <c r="P31" s="32"/>
      <c r="Q31" s="32" t="n">
        <v>4.806</v>
      </c>
      <c r="R31" s="32"/>
      <c r="S31" s="32"/>
      <c r="T31" s="32" t="n">
        <v>6.003</v>
      </c>
      <c r="U31" s="32"/>
      <c r="V31" s="32"/>
      <c r="W31" s="32" t="n">
        <v>2.403</v>
      </c>
      <c r="X31" s="32"/>
      <c r="Y31" s="32"/>
      <c r="Z31" s="32" t="n">
        <v>4.81</v>
      </c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1332.666</v>
      </c>
      <c r="I32" s="34"/>
      <c r="J32" s="34"/>
      <c r="K32" s="34" t="n">
        <f aca="false">K30*K31</f>
        <v>964.62</v>
      </c>
      <c r="L32" s="34"/>
      <c r="M32" s="34"/>
      <c r="N32" s="34" t="n">
        <f aca="false">N30*N31</f>
        <v>766.53</v>
      </c>
      <c r="O32" s="34"/>
      <c r="P32" s="34"/>
      <c r="Q32" s="34" t="n">
        <f aca="false">Q30*Q31</f>
        <v>1970.46</v>
      </c>
      <c r="R32" s="34"/>
      <c r="S32" s="34"/>
      <c r="T32" s="34" t="n">
        <f aca="false">T30*T31</f>
        <v>270.135</v>
      </c>
      <c r="U32" s="34"/>
      <c r="V32" s="34"/>
      <c r="W32" s="34" t="n">
        <f aca="false">W30*W31</f>
        <v>1790.235</v>
      </c>
      <c r="X32" s="34"/>
      <c r="Y32" s="34"/>
      <c r="Z32" s="34" t="n">
        <f aca="false">Z30*Z31</f>
        <v>784.03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</row>
    <row r="33" customFormat="false" ht="15.7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7878.676</v>
      </c>
      <c r="AW33" s="38"/>
      <c r="AX33" s="38"/>
      <c r="AY33" s="38"/>
      <c r="AZ33" s="38"/>
    </row>
    <row r="34" customFormat="false" ht="15.7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5.7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5.7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5.7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2026-10-13T05:58:07Z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